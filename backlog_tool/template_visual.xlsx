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calzademexico-my.sharepoint.com/personal/msoto_incalzademexico_com/Documents/Documentos/Documentos Ernesto Gonzalez/Programas/Agente-Programación/"/>
    </mc:Choice>
  </mc:AlternateContent>
  <xr:revisionPtr revIDLastSave="0" documentId="11_B9C17D2B66E838E5CF048DB756F9EF2051EAA0A8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Backlog Original" sheetId="1" r:id="rId1"/>
    <sheet name="Backlog" sheetId="2" r:id="rId2"/>
    <sheet name="Total General" sheetId="3" r:id="rId3"/>
    <sheet name="Sem 15" sheetId="4" r:id="rId4"/>
    <sheet name="Sem 16" sheetId="5" r:id="rId5"/>
    <sheet name="Sem 17" sheetId="6" r:id="rId6"/>
    <sheet name="Sem 18" sheetId="7" r:id="rId7"/>
    <sheet name="Sem 19" sheetId="8" r:id="rId8"/>
    <sheet name="Sem 20" sheetId="9" r:id="rId9"/>
    <sheet name="Sem 21" sheetId="10" r:id="rId10"/>
    <sheet name="Resumen Semanal" sheetId="11" r:id="rId11"/>
    <sheet name="Seg por Pa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2" l="1"/>
  <c r="I14" i="12" s="1"/>
  <c r="C13" i="12"/>
  <c r="I13" i="12" s="1"/>
  <c r="C12" i="12"/>
  <c r="I12" i="12" s="1"/>
  <c r="I11" i="12"/>
  <c r="C11" i="12"/>
  <c r="I10" i="12"/>
  <c r="C10" i="12"/>
  <c r="I9" i="12"/>
  <c r="C9" i="12"/>
  <c r="I8" i="12"/>
  <c r="C8" i="12"/>
  <c r="I7" i="12"/>
  <c r="C7" i="12"/>
  <c r="I6" i="12"/>
  <c r="C6" i="12"/>
  <c r="I5" i="12"/>
  <c r="C5" i="12"/>
  <c r="I4" i="12"/>
  <c r="C4" i="12"/>
  <c r="C11" i="11"/>
  <c r="C10" i="10"/>
  <c r="C12" i="11" s="1"/>
  <c r="S9" i="10"/>
  <c r="M9" i="10"/>
  <c r="N9" i="10" s="1"/>
  <c r="O9" i="10" s="1"/>
  <c r="I9" i="10"/>
  <c r="J9" i="10" s="1"/>
  <c r="K9" i="10" s="1"/>
  <c r="E9" i="10"/>
  <c r="T9" i="10" s="1"/>
  <c r="S8" i="10"/>
  <c r="S10" i="10" s="1"/>
  <c r="S12" i="11" s="1"/>
  <c r="M8" i="10"/>
  <c r="N8" i="10" s="1"/>
  <c r="O8" i="10" s="1"/>
  <c r="I8" i="10"/>
  <c r="T8" i="10" s="1"/>
  <c r="E8" i="10"/>
  <c r="F8" i="10" s="1"/>
  <c r="G8" i="10" s="1"/>
  <c r="N7" i="10"/>
  <c r="O7" i="10" s="1"/>
  <c r="M7" i="10"/>
  <c r="I7" i="10"/>
  <c r="J7" i="10" s="1"/>
  <c r="K7" i="10" s="1"/>
  <c r="F7" i="10"/>
  <c r="E7" i="10"/>
  <c r="E10" i="10" s="1"/>
  <c r="E12" i="11" s="1"/>
  <c r="Q6" i="10"/>
  <c r="Q10" i="10" s="1"/>
  <c r="Q12" i="11" s="1"/>
  <c r="N6" i="10"/>
  <c r="M6" i="10"/>
  <c r="M10" i="10" s="1"/>
  <c r="M12" i="11" s="1"/>
  <c r="N12" i="11" s="1"/>
  <c r="O12" i="11" s="1"/>
  <c r="I6" i="10"/>
  <c r="I10" i="10" s="1"/>
  <c r="I12" i="11" s="1"/>
  <c r="J12" i="11" s="1"/>
  <c r="K12" i="11" s="1"/>
  <c r="Q10" i="9"/>
  <c r="Q11" i="11" s="1"/>
  <c r="C10" i="9"/>
  <c r="S9" i="9"/>
  <c r="S10" i="9" s="1"/>
  <c r="S11" i="11" s="1"/>
  <c r="M9" i="9"/>
  <c r="N9" i="9" s="1"/>
  <c r="O9" i="9" s="1"/>
  <c r="J9" i="9"/>
  <c r="K9" i="9" s="1"/>
  <c r="I9" i="9"/>
  <c r="T9" i="9" s="1"/>
  <c r="E9" i="9"/>
  <c r="F9" i="9" s="1"/>
  <c r="G9" i="9" s="1"/>
  <c r="S8" i="9"/>
  <c r="O8" i="9"/>
  <c r="M8" i="9"/>
  <c r="N8" i="9" s="1"/>
  <c r="I8" i="9"/>
  <c r="J8" i="9" s="1"/>
  <c r="K8" i="9" s="1"/>
  <c r="G8" i="9"/>
  <c r="E8" i="9"/>
  <c r="F8" i="9" s="1"/>
  <c r="M7" i="9"/>
  <c r="N7" i="9" s="1"/>
  <c r="O7" i="9" s="1"/>
  <c r="J7" i="9"/>
  <c r="K7" i="9" s="1"/>
  <c r="I7" i="9"/>
  <c r="F7" i="9"/>
  <c r="E7" i="9"/>
  <c r="Q6" i="9"/>
  <c r="M6" i="9"/>
  <c r="I6" i="9"/>
  <c r="T6" i="9" s="1"/>
  <c r="Q12" i="8"/>
  <c r="Q10" i="11" s="1"/>
  <c r="I12" i="8"/>
  <c r="I10" i="11" s="1"/>
  <c r="J10" i="11" s="1"/>
  <c r="K10" i="11" s="1"/>
  <c r="C12" i="8"/>
  <c r="C10" i="11" s="1"/>
  <c r="O8" i="8"/>
  <c r="N8" i="8"/>
  <c r="M8" i="8"/>
  <c r="I8" i="8"/>
  <c r="J8" i="8" s="1"/>
  <c r="K8" i="8" s="1"/>
  <c r="G8" i="8"/>
  <c r="F8" i="8"/>
  <c r="E8" i="8"/>
  <c r="T8" i="8" s="1"/>
  <c r="Q7" i="8"/>
  <c r="M7" i="8"/>
  <c r="N7" i="8" s="1"/>
  <c r="O7" i="8" s="1"/>
  <c r="J7" i="8"/>
  <c r="K7" i="8" s="1"/>
  <c r="K12" i="8" s="1"/>
  <c r="I7" i="8"/>
  <c r="F7" i="8"/>
  <c r="E7" i="8"/>
  <c r="S6" i="8"/>
  <c r="S12" i="8" s="1"/>
  <c r="S10" i="11" s="1"/>
  <c r="M6" i="8"/>
  <c r="M12" i="7"/>
  <c r="M9" i="11" s="1"/>
  <c r="N9" i="11" s="1"/>
  <c r="O9" i="11" s="1"/>
  <c r="E12" i="7"/>
  <c r="E9" i="11" s="1"/>
  <c r="C12" i="7"/>
  <c r="C9" i="11" s="1"/>
  <c r="M8" i="7"/>
  <c r="N8" i="7" s="1"/>
  <c r="O8" i="7" s="1"/>
  <c r="K8" i="7"/>
  <c r="J8" i="7"/>
  <c r="I8" i="7"/>
  <c r="T8" i="7" s="1"/>
  <c r="E8" i="7"/>
  <c r="F8" i="7" s="1"/>
  <c r="G8" i="7" s="1"/>
  <c r="Q7" i="7"/>
  <c r="Q12" i="7" s="1"/>
  <c r="Q9" i="11" s="1"/>
  <c r="N7" i="7"/>
  <c r="O7" i="7" s="1"/>
  <c r="M7" i="7"/>
  <c r="J7" i="7"/>
  <c r="I7" i="7"/>
  <c r="I12" i="7" s="1"/>
  <c r="I9" i="11" s="1"/>
  <c r="J9" i="11" s="1"/>
  <c r="K9" i="11" s="1"/>
  <c r="F7" i="7"/>
  <c r="G7" i="7" s="1"/>
  <c r="E7" i="7"/>
  <c r="S6" i="7"/>
  <c r="S12" i="7" s="1"/>
  <c r="S9" i="11" s="1"/>
  <c r="M6" i="7"/>
  <c r="N6" i="7" s="1"/>
  <c r="N12" i="7" s="1"/>
  <c r="G11" i="6"/>
  <c r="E11" i="6"/>
  <c r="E8" i="11" s="1"/>
  <c r="C11" i="6"/>
  <c r="C8" i="11" s="1"/>
  <c r="O9" i="6"/>
  <c r="N9" i="6"/>
  <c r="M9" i="6"/>
  <c r="I9" i="6"/>
  <c r="J9" i="6" s="1"/>
  <c r="K9" i="6" s="1"/>
  <c r="Q8" i="6"/>
  <c r="Q11" i="6" s="1"/>
  <c r="Q8" i="11" s="1"/>
  <c r="N8" i="6"/>
  <c r="O8" i="6" s="1"/>
  <c r="M8" i="6"/>
  <c r="I8" i="6"/>
  <c r="T8" i="6" s="1"/>
  <c r="F8" i="6"/>
  <c r="G8" i="6" s="1"/>
  <c r="E8" i="6"/>
  <c r="S7" i="6"/>
  <c r="S11" i="6" s="1"/>
  <c r="S8" i="11" s="1"/>
  <c r="M7" i="6"/>
  <c r="Q6" i="6"/>
  <c r="N6" i="6"/>
  <c r="M6" i="6"/>
  <c r="I6" i="6"/>
  <c r="J6" i="6" s="1"/>
  <c r="G6" i="6"/>
  <c r="F6" i="6"/>
  <c r="F11" i="6" s="1"/>
  <c r="E6" i="6"/>
  <c r="T6" i="6" s="1"/>
  <c r="S10" i="5"/>
  <c r="S7" i="11" s="1"/>
  <c r="C10" i="5"/>
  <c r="C7" i="11" s="1"/>
  <c r="M9" i="5"/>
  <c r="N9" i="5" s="1"/>
  <c r="J9" i="5"/>
  <c r="K9" i="5" s="1"/>
  <c r="I9" i="5"/>
  <c r="T9" i="5" s="1"/>
  <c r="Q8" i="5"/>
  <c r="M8" i="5"/>
  <c r="N8" i="5" s="1"/>
  <c r="O8" i="5" s="1"/>
  <c r="I8" i="5"/>
  <c r="J8" i="5" s="1"/>
  <c r="K8" i="5" s="1"/>
  <c r="E8" i="5"/>
  <c r="Q7" i="5"/>
  <c r="N7" i="5"/>
  <c r="O7" i="5" s="1"/>
  <c r="M7" i="5"/>
  <c r="M10" i="5" s="1"/>
  <c r="M7" i="11" s="1"/>
  <c r="N7" i="11" s="1"/>
  <c r="O7" i="11" s="1"/>
  <c r="I7" i="5"/>
  <c r="T7" i="5" s="1"/>
  <c r="Q6" i="5"/>
  <c r="N6" i="5"/>
  <c r="O6" i="5" s="1"/>
  <c r="M6" i="5"/>
  <c r="I6" i="5"/>
  <c r="I10" i="5" s="1"/>
  <c r="I7" i="11" s="1"/>
  <c r="J7" i="11" s="1"/>
  <c r="K7" i="11" s="1"/>
  <c r="F6" i="5"/>
  <c r="G6" i="5" s="1"/>
  <c r="E6" i="5"/>
  <c r="S11" i="4"/>
  <c r="S6" i="11" s="1"/>
  <c r="Q11" i="4"/>
  <c r="Q6" i="11" s="1"/>
  <c r="I11" i="4"/>
  <c r="I6" i="11" s="1"/>
  <c r="C11" i="4"/>
  <c r="C6" i="11" s="1"/>
  <c r="T8" i="4"/>
  <c r="Q8" i="4"/>
  <c r="N8" i="4"/>
  <c r="O8" i="4" s="1"/>
  <c r="M8" i="4"/>
  <c r="I8" i="4"/>
  <c r="J8" i="4" s="1"/>
  <c r="K8" i="4" s="1"/>
  <c r="F8" i="4"/>
  <c r="G8" i="4" s="1"/>
  <c r="E8" i="4"/>
  <c r="O7" i="4"/>
  <c r="N7" i="4"/>
  <c r="M7" i="4"/>
  <c r="I7" i="4"/>
  <c r="J7" i="4" s="1"/>
  <c r="K7" i="4" s="1"/>
  <c r="F7" i="4"/>
  <c r="G7" i="4" s="1"/>
  <c r="E7" i="4"/>
  <c r="T7" i="4" s="1"/>
  <c r="Q6" i="4"/>
  <c r="N6" i="4"/>
  <c r="O6" i="4" s="1"/>
  <c r="M6" i="4"/>
  <c r="M11" i="4" s="1"/>
  <c r="M6" i="11" s="1"/>
  <c r="J6" i="4"/>
  <c r="K6" i="4" s="1"/>
  <c r="I6" i="4"/>
  <c r="E6" i="4"/>
  <c r="E11" i="4" s="1"/>
  <c r="E6" i="11" s="1"/>
  <c r="C21" i="3"/>
  <c r="M16" i="3"/>
  <c r="N16" i="3" s="1"/>
  <c r="O16" i="3" s="1"/>
  <c r="K16" i="3"/>
  <c r="I16" i="3"/>
  <c r="J16" i="3" s="1"/>
  <c r="Q15" i="3"/>
  <c r="O15" i="3"/>
  <c r="N15" i="3"/>
  <c r="M15" i="3"/>
  <c r="K15" i="3"/>
  <c r="I15" i="3"/>
  <c r="J15" i="3" s="1"/>
  <c r="F15" i="3"/>
  <c r="G15" i="3" s="1"/>
  <c r="E15" i="3"/>
  <c r="T15" i="3" s="1"/>
  <c r="T14" i="3"/>
  <c r="M14" i="3"/>
  <c r="N14" i="3" s="1"/>
  <c r="O14" i="3" s="1"/>
  <c r="I14" i="3"/>
  <c r="J14" i="3" s="1"/>
  <c r="K14" i="3" s="1"/>
  <c r="E14" i="3"/>
  <c r="F14" i="3" s="1"/>
  <c r="G14" i="3" s="1"/>
  <c r="T13" i="3"/>
  <c r="Q13" i="3"/>
  <c r="O13" i="3"/>
  <c r="M13" i="3"/>
  <c r="N13" i="3" s="1"/>
  <c r="J13" i="3"/>
  <c r="K13" i="3" s="1"/>
  <c r="I13" i="3"/>
  <c r="G13" i="3"/>
  <c r="E13" i="3"/>
  <c r="F13" i="3" s="1"/>
  <c r="Q12" i="3"/>
  <c r="N12" i="3"/>
  <c r="O12" i="3" s="1"/>
  <c r="M12" i="3"/>
  <c r="J12" i="3"/>
  <c r="K12" i="3" s="1"/>
  <c r="I12" i="3"/>
  <c r="T12" i="3" s="1"/>
  <c r="F12" i="3"/>
  <c r="G12" i="3" s="1"/>
  <c r="E12" i="3"/>
  <c r="S11" i="3"/>
  <c r="S21" i="3" s="1"/>
  <c r="M11" i="3"/>
  <c r="N11" i="3" s="1"/>
  <c r="O11" i="3" s="1"/>
  <c r="I11" i="3"/>
  <c r="J11" i="3" s="1"/>
  <c r="K11" i="3" s="1"/>
  <c r="E11" i="3"/>
  <c r="S10" i="3"/>
  <c r="N10" i="3"/>
  <c r="O10" i="3" s="1"/>
  <c r="M10" i="3"/>
  <c r="I10" i="3"/>
  <c r="J10" i="3" s="1"/>
  <c r="K10" i="3" s="1"/>
  <c r="G10" i="3"/>
  <c r="F10" i="3"/>
  <c r="E10" i="3"/>
  <c r="T10" i="3" s="1"/>
  <c r="T9" i="3"/>
  <c r="S9" i="3"/>
  <c r="M9" i="3"/>
  <c r="N9" i="3" s="1"/>
  <c r="O9" i="3" s="1"/>
  <c r="M8" i="3"/>
  <c r="N8" i="3" s="1"/>
  <c r="O8" i="3" s="1"/>
  <c r="K8" i="3"/>
  <c r="J8" i="3"/>
  <c r="I8" i="3"/>
  <c r="E8" i="3"/>
  <c r="T8" i="3" s="1"/>
  <c r="T7" i="3"/>
  <c r="Q7" i="3"/>
  <c r="N7" i="3"/>
  <c r="O7" i="3" s="1"/>
  <c r="M7" i="3"/>
  <c r="J7" i="3"/>
  <c r="K7" i="3" s="1"/>
  <c r="I7" i="3"/>
  <c r="Q6" i="3"/>
  <c r="Q21" i="3" s="1"/>
  <c r="M6" i="3"/>
  <c r="N6" i="3" s="1"/>
  <c r="O6" i="3" s="1"/>
  <c r="I6" i="3"/>
  <c r="E6" i="3"/>
  <c r="E21" i="3" s="1"/>
  <c r="I20" i="2"/>
  <c r="H20" i="2"/>
  <c r="G20" i="2"/>
  <c r="F20" i="2"/>
  <c r="E20" i="2"/>
  <c r="D20" i="2"/>
  <c r="C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20" i="2" s="1"/>
  <c r="J6" i="2"/>
  <c r="J5" i="2"/>
  <c r="K19" i="1"/>
  <c r="J19" i="1"/>
  <c r="I19" i="1"/>
  <c r="H19" i="1"/>
  <c r="G19" i="1"/>
  <c r="F19" i="1"/>
  <c r="L19" i="1" s="1"/>
  <c r="E19" i="1"/>
  <c r="L18" i="1"/>
  <c r="L17" i="1"/>
  <c r="L16" i="1"/>
  <c r="L15" i="1"/>
  <c r="S14" i="1"/>
  <c r="L14" i="1"/>
  <c r="S13" i="1"/>
  <c r="L13" i="1"/>
  <c r="S12" i="1"/>
  <c r="L12" i="1"/>
  <c r="S11" i="1"/>
  <c r="L11" i="1"/>
  <c r="S10" i="1"/>
  <c r="L10" i="1"/>
  <c r="S9" i="1"/>
  <c r="L9" i="1"/>
  <c r="S8" i="1"/>
  <c r="L8" i="1"/>
  <c r="S7" i="1"/>
  <c r="L7" i="1"/>
  <c r="S6" i="1"/>
  <c r="L6" i="1"/>
  <c r="S5" i="1"/>
  <c r="L5" i="1"/>
  <c r="S4" i="1"/>
  <c r="S19" i="1" s="1"/>
  <c r="L4" i="1"/>
  <c r="O10" i="5" l="1"/>
  <c r="O9" i="5"/>
  <c r="N10" i="5"/>
  <c r="Q13" i="11"/>
  <c r="M10" i="9"/>
  <c r="M11" i="11" s="1"/>
  <c r="N11" i="11" s="1"/>
  <c r="O11" i="11" s="1"/>
  <c r="N6" i="9"/>
  <c r="J6" i="3"/>
  <c r="I21" i="3"/>
  <c r="F11" i="3"/>
  <c r="G11" i="3" s="1"/>
  <c r="T11" i="3"/>
  <c r="F6" i="11"/>
  <c r="T6" i="11"/>
  <c r="C13" i="11"/>
  <c r="S13" i="11"/>
  <c r="J11" i="6"/>
  <c r="N7" i="6"/>
  <c r="O7" i="6" s="1"/>
  <c r="M11" i="6"/>
  <c r="M8" i="11" s="1"/>
  <c r="N8" i="11" s="1"/>
  <c r="O8" i="11" s="1"/>
  <c r="T7" i="6"/>
  <c r="J8" i="6"/>
  <c r="K8" i="6" s="1"/>
  <c r="I11" i="6"/>
  <c r="I8" i="11" s="1"/>
  <c r="J8" i="11" s="1"/>
  <c r="K8" i="11" s="1"/>
  <c r="T6" i="8"/>
  <c r="M12" i="8"/>
  <c r="M10" i="11" s="1"/>
  <c r="N10" i="11" s="1"/>
  <c r="O10" i="11" s="1"/>
  <c r="N6" i="8"/>
  <c r="G7" i="10"/>
  <c r="T6" i="3"/>
  <c r="F6" i="3"/>
  <c r="O11" i="4"/>
  <c r="F6" i="4"/>
  <c r="T6" i="4"/>
  <c r="T11" i="4" s="1"/>
  <c r="Q10" i="5"/>
  <c r="Q7" i="11" s="1"/>
  <c r="K6" i="6"/>
  <c r="K11" i="6" s="1"/>
  <c r="G12" i="7"/>
  <c r="T7" i="7"/>
  <c r="E10" i="9"/>
  <c r="E11" i="11" s="1"/>
  <c r="T7" i="9"/>
  <c r="J8" i="10"/>
  <c r="K8" i="10" s="1"/>
  <c r="O21" i="3"/>
  <c r="J6" i="11"/>
  <c r="T6" i="5"/>
  <c r="T10" i="5" s="1"/>
  <c r="T9" i="11"/>
  <c r="F9" i="11"/>
  <c r="G9" i="11" s="1"/>
  <c r="E12" i="8"/>
  <c r="E10" i="11" s="1"/>
  <c r="T7" i="8"/>
  <c r="F10" i="9"/>
  <c r="G7" i="9"/>
  <c r="G10" i="9" s="1"/>
  <c r="I10" i="9"/>
  <c r="I11" i="11" s="1"/>
  <c r="J11" i="11" s="1"/>
  <c r="K11" i="11" s="1"/>
  <c r="N10" i="10"/>
  <c r="O6" i="10"/>
  <c r="O10" i="10" s="1"/>
  <c r="M21" i="3"/>
  <c r="K11" i="4"/>
  <c r="J11" i="4"/>
  <c r="J12" i="7"/>
  <c r="K7" i="7"/>
  <c r="K12" i="7" s="1"/>
  <c r="T10" i="9"/>
  <c r="E10" i="5"/>
  <c r="E7" i="11" s="1"/>
  <c r="F8" i="5"/>
  <c r="G8" i="5" s="1"/>
  <c r="G10" i="5" s="1"/>
  <c r="T8" i="5"/>
  <c r="F12" i="8"/>
  <c r="G7" i="8"/>
  <c r="G12" i="8" s="1"/>
  <c r="T16" i="3"/>
  <c r="N21" i="3"/>
  <c r="N6" i="11"/>
  <c r="N11" i="4"/>
  <c r="J6" i="5"/>
  <c r="O6" i="6"/>
  <c r="O11" i="6" s="1"/>
  <c r="F8" i="11"/>
  <c r="G8" i="11" s="1"/>
  <c r="O6" i="7"/>
  <c r="O12" i="7" s="1"/>
  <c r="F12" i="11"/>
  <c r="G12" i="11" s="1"/>
  <c r="T12" i="11"/>
  <c r="T9" i="6"/>
  <c r="T11" i="6" s="1"/>
  <c r="T6" i="7"/>
  <c r="F12" i="7"/>
  <c r="J12" i="8"/>
  <c r="T8" i="9"/>
  <c r="T7" i="10"/>
  <c r="F8" i="3"/>
  <c r="G8" i="3" s="1"/>
  <c r="J7" i="5"/>
  <c r="K7" i="5" s="1"/>
  <c r="F9" i="10"/>
  <c r="G9" i="10" s="1"/>
  <c r="J6" i="10"/>
  <c r="T6" i="10"/>
  <c r="J6" i="9"/>
  <c r="F7" i="11" l="1"/>
  <c r="G7" i="11" s="1"/>
  <c r="T7" i="11"/>
  <c r="T11" i="11"/>
  <c r="F11" i="11"/>
  <c r="G11" i="11" s="1"/>
  <c r="G6" i="4"/>
  <c r="G11" i="4" s="1"/>
  <c r="F11" i="4"/>
  <c r="E13" i="11"/>
  <c r="K6" i="9"/>
  <c r="K10" i="9" s="1"/>
  <c r="J10" i="9"/>
  <c r="T10" i="10"/>
  <c r="J10" i="10"/>
  <c r="K6" i="10"/>
  <c r="K10" i="10" s="1"/>
  <c r="N13" i="11"/>
  <c r="O6" i="11"/>
  <c r="O13" i="11" s="1"/>
  <c r="T21" i="3"/>
  <c r="N10" i="9"/>
  <c r="O6" i="9"/>
  <c r="O10" i="9" s="1"/>
  <c r="T10" i="11"/>
  <c r="F10" i="11"/>
  <c r="G10" i="11" s="1"/>
  <c r="I13" i="11"/>
  <c r="G6" i="3"/>
  <c r="G21" i="3" s="1"/>
  <c r="F21" i="3"/>
  <c r="T8" i="11"/>
  <c r="T13" i="11" s="1"/>
  <c r="M13" i="11"/>
  <c r="N11" i="6"/>
  <c r="G10" i="10"/>
  <c r="J21" i="3"/>
  <c r="K6" i="3"/>
  <c r="K21" i="3" s="1"/>
  <c r="J10" i="5"/>
  <c r="K6" i="5"/>
  <c r="K10" i="5" s="1"/>
  <c r="J13" i="11"/>
  <c r="K6" i="11"/>
  <c r="K13" i="11" s="1"/>
  <c r="T12" i="8"/>
  <c r="T12" i="7"/>
  <c r="F10" i="5"/>
  <c r="N12" i="8"/>
  <c r="O6" i="8"/>
  <c r="O12" i="8" s="1"/>
  <c r="G6" i="11"/>
  <c r="F10" i="10"/>
  <c r="G13" i="11" l="1"/>
  <c r="F13" i="11"/>
</calcChain>
</file>

<file path=xl/sharedStrings.xml><?xml version="1.0" encoding="utf-8"?>
<sst xmlns="http://schemas.openxmlformats.org/spreadsheetml/2006/main" count="625" uniqueCount="61">
  <si>
    <t xml:space="preserve">BACKLOG ANDREA </t>
  </si>
  <si>
    <t>Semana</t>
  </si>
  <si>
    <t>Total general</t>
  </si>
  <si>
    <t>Modelo</t>
  </si>
  <si>
    <t>Total Pares</t>
  </si>
  <si>
    <t>PRELIMINARES</t>
  </si>
  <si>
    <t>ROBOT</t>
  </si>
  <si>
    <t>POST</t>
  </si>
  <si>
    <t>N/A PRELIMINAR</t>
  </si>
  <si>
    <t>TOTAL HRS</t>
  </si>
  <si>
    <t>MAQUILA</t>
  </si>
  <si>
    <t xml:space="preserve">      Alternativa</t>
  </si>
  <si>
    <t>68127 NE/RO SLI</t>
  </si>
  <si>
    <t>—</t>
  </si>
  <si>
    <t>64197 NE SLI</t>
  </si>
  <si>
    <t>65568 RO/HU SLI</t>
  </si>
  <si>
    <t>77525 NE TEX</t>
  </si>
  <si>
    <t>94750 AA SLI</t>
  </si>
  <si>
    <t>61747 GC SLI</t>
  </si>
  <si>
    <t>65422 HU SLI</t>
  </si>
  <si>
    <t>88186 NE SLI</t>
  </si>
  <si>
    <t>62100 BL SLI</t>
  </si>
  <si>
    <t>61748 KR SLI</t>
  </si>
  <si>
    <t>65413 NE/CG/VI SLI</t>
  </si>
  <si>
    <t>93347 CA SLI</t>
  </si>
  <si>
    <t>SIN CATALOGO</t>
  </si>
  <si>
    <t>69906 BL SLI</t>
  </si>
  <si>
    <t>93349 RS SLI</t>
  </si>
  <si>
    <t>93346 NE SLI</t>
  </si>
  <si>
    <t>TOTAL</t>
  </si>
  <si>
    <t>PROPUESTA OPTIMIZADA — BACKLOG ANDREA (SEM 15-21)</t>
  </si>
  <si>
    <t>Distribucion balanceando carga PRELIM/ROBOT/POST por semana</t>
  </si>
  <si>
    <t>Sem 15</t>
  </si>
  <si>
    <t>Sem 16</t>
  </si>
  <si>
    <t>Sem 17</t>
  </si>
  <si>
    <t>Sem 18</t>
  </si>
  <si>
    <t>Sem 19</t>
  </si>
  <si>
    <t>Sem 20</t>
  </si>
  <si>
    <t>Sem 21</t>
  </si>
  <si>
    <t>Total</t>
  </si>
  <si>
    <t>MATRIZ DE HORAS POR ETAPA — TOTAL ACUMULADO (SEM 15-21)</t>
  </si>
  <si>
    <t>JORNADA HRS →</t>
  </si>
  <si>
    <t>HC →</t>
  </si>
  <si>
    <t>Seg/Par</t>
  </si>
  <si>
    <t>HORAS</t>
  </si>
  <si>
    <t>PERSONAS</t>
  </si>
  <si>
    <t>DIAS</t>
  </si>
  <si>
    <t>HRS</t>
  </si>
  <si>
    <t>HORAS POR ETAPA — SEMANA 15</t>
  </si>
  <si>
    <t>Pares Sem</t>
  </si>
  <si>
    <t>HORAS POR ETAPA — SEMANA 16</t>
  </si>
  <si>
    <t>HORAS POR ETAPA — SEMANA 17</t>
  </si>
  <si>
    <t>HORAS POR ETAPA — SEMANA 18</t>
  </si>
  <si>
    <t>HORAS POR ETAPA — SEMANA 19</t>
  </si>
  <si>
    <t>HORAS POR ETAPA — SEMANA 20</t>
  </si>
  <si>
    <t>HORAS POR ETAPA — SEMANA 21</t>
  </si>
  <si>
    <t>RESUMEN SEMANAL — HORAS POR ETAPA</t>
  </si>
  <si>
    <t>Pares</t>
  </si>
  <si>
    <t>SEGUNDOS POR PAR POR ETAPA (DATOS CATALOGO)</t>
  </si>
  <si>
    <t>Total Seg/Par</t>
  </si>
  <si>
    <t>Pares/Hr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</si>
</sst>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b/>
      <sz val="14"/>
      <color rgb="FF1E3A5F"/>
      <name val="Calibri"/>
    </font>
    <font>
      <i/>
      <sz val="10"/>
      <color rgb="FF64748B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1E3A5F"/>
      <name val="Calibri"/>
    </font>
    <font>
      <b/>
      <sz val="12"/>
      <color rgb="FFC0392B"/>
      <name val="Calibri"/>
    </font>
    <font>
      <i/>
      <sz val="10"/>
      <color rgb="FF991B1B"/>
      <name val="Calibri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FFFFFF"/>
      <name val="Verdana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0"/>
      <color rgb="FF991B1B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ECACA"/>
        <bgColor rgb="FFFECACA"/>
      </patternFill>
    </fill>
    <fill>
      <patternFill patternType="solid">
        <fgColor rgb="FFFFF3CD"/>
        <bgColor rgb="FFFFF3CD"/>
      </patternFill>
    </fill>
    <fill>
      <patternFill patternType="solid">
        <fgColor rgb="FFF59E0B"/>
        <bgColor rgb="FFF59E0B"/>
      </patternFill>
    </fill>
    <fill>
      <patternFill patternType="solid">
        <fgColor rgb="FF10B981"/>
        <bgColor rgb="FF10B981"/>
      </patternFill>
    </fill>
    <fill>
      <patternFill patternType="solid">
        <fgColor rgb="FFEC4899"/>
        <bgColor rgb="FFEC4899"/>
      </patternFill>
    </fill>
    <fill>
      <patternFill patternType="solid">
        <fgColor rgb="FF94A3B8"/>
        <bgColor rgb="FF94A3B8"/>
      </patternFill>
    </fill>
    <fill>
      <patternFill patternType="solid">
        <fgColor rgb="FF8B5CF6"/>
        <bgColor rgb="FF8B5CF6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CE7F3"/>
        <bgColor rgb="FFFCE7F3"/>
      </patternFill>
    </fill>
    <fill>
      <patternFill patternType="solid">
        <fgColor rgb="FFE2E8F0"/>
        <bgColor rgb="FFE2E8F0"/>
      </patternFill>
    </fill>
    <fill>
      <patternFill patternType="solid">
        <fgColor rgb="FFEDE9FE"/>
        <bgColor rgb="FFEDE9FE"/>
      </patternFill>
    </fill>
    <fill>
      <patternFill patternType="solid">
        <fgColor theme="0"/>
        <bgColor indexed="64"/>
      </patternFill>
    </fill>
    <fill>
      <patternFill patternType="solid">
        <fgColor rgb="FF234C72"/>
        <bgColor indexed="64"/>
      </patternFill>
    </fill>
  </fills>
  <borders count="1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" fontId="7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" fontId="5" fillId="10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1" fontId="5" fillId="12" borderId="1" xfId="0" applyNumberFormat="1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1" fontId="5" fillId="13" borderId="1" xfId="0" applyNumberFormat="1" applyFont="1" applyFill="1" applyBorder="1" applyAlignment="1">
      <alignment horizontal="center" vertical="center"/>
    </xf>
    <xf numFmtId="164" fontId="5" fillId="1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" fontId="5" fillId="14" borderId="1" xfId="0" applyNumberFormat="1" applyFont="1" applyFill="1" applyBorder="1" applyAlignment="1">
      <alignment horizontal="center" vertical="center"/>
    </xf>
    <xf numFmtId="164" fontId="5" fillId="1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1" fillId="16" borderId="8" xfId="0" applyFont="1" applyFill="1" applyBorder="1" applyAlignment="1">
      <alignment horizontal="right" vertical="center" wrapText="1"/>
    </xf>
    <xf numFmtId="0" fontId="11" fillId="16" borderId="6" xfId="0" applyFont="1" applyFill="1" applyBorder="1" applyAlignment="1">
      <alignment horizontal="left" vertical="center" wrapText="1"/>
    </xf>
    <xf numFmtId="0" fontId="10" fillId="0" borderId="7" xfId="0" applyFont="1" applyBorder="1"/>
    <xf numFmtId="0" fontId="10" fillId="5" borderId="7" xfId="0" applyFont="1" applyFill="1" applyBorder="1"/>
    <xf numFmtId="0" fontId="10" fillId="6" borderId="7" xfId="0" applyFont="1" applyFill="1" applyBorder="1"/>
    <xf numFmtId="0" fontId="10" fillId="7" borderId="7" xfId="0" applyFont="1" applyFill="1" applyBorder="1"/>
    <xf numFmtId="0" fontId="13" fillId="0" borderId="7" xfId="0" applyFont="1" applyBorder="1" applyAlignment="1">
      <alignment horizontal="center" vertical="center"/>
    </xf>
    <xf numFmtId="0" fontId="10" fillId="9" borderId="7" xfId="0" applyFont="1" applyFill="1" applyBorder="1"/>
    <xf numFmtId="0" fontId="10" fillId="15" borderId="8" xfId="0" applyFont="1" applyFill="1" applyBorder="1" applyAlignment="1">
      <alignment vertical="center"/>
    </xf>
    <xf numFmtId="0" fontId="10" fillId="15" borderId="6" xfId="0" applyFont="1" applyFill="1" applyBorder="1" applyAlignment="1">
      <alignment vertical="center"/>
    </xf>
    <xf numFmtId="3" fontId="10" fillId="0" borderId="5" xfId="0" applyNumberFormat="1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3" fontId="11" fillId="16" borderId="10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/>
    </xf>
    <xf numFmtId="3" fontId="13" fillId="0" borderId="7" xfId="0" applyNumberFormat="1" applyFont="1" applyBorder="1" applyAlignment="1">
      <alignment horizontal="center" vertical="center"/>
    </xf>
    <xf numFmtId="164" fontId="13" fillId="10" borderId="7" xfId="0" applyNumberFormat="1" applyFont="1" applyFill="1" applyBorder="1" applyAlignment="1">
      <alignment horizontal="center" vertical="center"/>
    </xf>
    <xf numFmtId="164" fontId="13" fillId="11" borderId="7" xfId="0" applyNumberFormat="1" applyFont="1" applyFill="1" applyBorder="1" applyAlignment="1">
      <alignment horizontal="center" vertical="center"/>
    </xf>
    <xf numFmtId="164" fontId="13" fillId="12" borderId="7" xfId="0" applyNumberFormat="1" applyFon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64" fontId="13" fillId="14" borderId="7" xfId="0" applyNumberFormat="1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left" vertical="center"/>
    </xf>
    <xf numFmtId="3" fontId="13" fillId="3" borderId="7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3" fontId="10" fillId="15" borderId="0" xfId="0" applyNumberFormat="1" applyFont="1" applyFill="1"/>
    <xf numFmtId="0" fontId="12" fillId="2" borderId="7" xfId="0" applyFont="1" applyFill="1" applyBorder="1" applyAlignment="1">
      <alignment horizontal="center" vertical="center"/>
    </xf>
    <xf numFmtId="3" fontId="12" fillId="2" borderId="7" xfId="0" applyNumberFormat="1" applyFont="1" applyFill="1" applyBorder="1" applyAlignment="1">
      <alignment horizontal="center" vertical="center"/>
    </xf>
    <xf numFmtId="164" fontId="12" fillId="2" borderId="7" xfId="0" applyNumberFormat="1" applyFont="1" applyFill="1" applyBorder="1" applyAlignment="1">
      <alignment horizontal="center" vertical="center"/>
    </xf>
    <xf numFmtId="0" fontId="10" fillId="15" borderId="0" xfId="0" applyFont="1" applyFill="1"/>
    <xf numFmtId="0" fontId="15" fillId="3" borderId="7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1" fillId="16" borderId="5" xfId="0" applyFont="1" applyFill="1" applyBorder="1" applyAlignment="1">
      <alignment horizontal="center" vertical="center" wrapText="1"/>
    </xf>
    <xf numFmtId="0" fontId="0" fillId="0" borderId="9" xfId="0" applyBorder="1"/>
    <xf numFmtId="0" fontId="11" fillId="16" borderId="5" xfId="0" applyFont="1" applyFill="1" applyBorder="1" applyAlignment="1">
      <alignment horizontal="right" vertical="center" wrapText="1"/>
    </xf>
    <xf numFmtId="0" fontId="0" fillId="0" borderId="6" xfId="0" applyBorder="1"/>
    <xf numFmtId="0" fontId="9" fillId="15" borderId="4" xfId="0" applyFont="1" applyFill="1" applyBorder="1" applyAlignment="1">
      <alignment horizontal="center" wrapText="1"/>
    </xf>
    <xf numFmtId="0" fontId="0" fillId="0" borderId="4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523875" cy="361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523875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523875" cy="361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523875" cy="361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523875" cy="3619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523875" cy="3619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523875" cy="3619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523875" cy="3619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523875" cy="3619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523875" cy="3619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523875" cy="3619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523875" cy="361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</xdr:row>
      <xdr:rowOff>0</xdr:rowOff>
    </xdr:from>
    <xdr:ext cx="523875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</xdr:row>
      <xdr:rowOff>0</xdr:rowOff>
    </xdr:from>
    <xdr:ext cx="523875" cy="361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523875" cy="361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523875" cy="3619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</xdr:row>
      <xdr:rowOff>0</xdr:rowOff>
    </xdr:from>
    <xdr:ext cx="523875" cy="3619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</xdr:row>
      <xdr:rowOff>0</xdr:rowOff>
    </xdr:from>
    <xdr:ext cx="523875" cy="3619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</xdr:row>
      <xdr:rowOff>0</xdr:rowOff>
    </xdr:from>
    <xdr:ext cx="523875" cy="3619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</xdr:row>
      <xdr:rowOff>0</xdr:rowOff>
    </xdr:from>
    <xdr:ext cx="523875" cy="3619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</xdr:row>
      <xdr:rowOff>0</xdr:rowOff>
    </xdr:from>
    <xdr:ext cx="523875" cy="3619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14</xdr:row>
      <xdr:rowOff>0</xdr:rowOff>
    </xdr:from>
    <xdr:ext cx="523875" cy="3619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23875" cy="361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</xdr:row>
      <xdr:rowOff>0</xdr:rowOff>
    </xdr:from>
    <xdr:ext cx="523875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523875" cy="361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523875" cy="361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</xdr:row>
      <xdr:rowOff>0</xdr:rowOff>
    </xdr:from>
    <xdr:ext cx="523875" cy="3619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</xdr:row>
      <xdr:rowOff>0</xdr:rowOff>
    </xdr:from>
    <xdr:ext cx="523875" cy="3619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</xdr:row>
      <xdr:rowOff>0</xdr:rowOff>
    </xdr:from>
    <xdr:ext cx="523875" cy="3619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</xdr:row>
      <xdr:rowOff>0</xdr:rowOff>
    </xdr:from>
    <xdr:ext cx="523875" cy="3619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</xdr:row>
      <xdr:rowOff>0</xdr:rowOff>
    </xdr:from>
    <xdr:ext cx="523875" cy="3619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14</xdr:row>
      <xdr:rowOff>0</xdr:rowOff>
    </xdr:from>
    <xdr:ext cx="523875" cy="3619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15</xdr:row>
      <xdr:rowOff>0</xdr:rowOff>
    </xdr:from>
    <xdr:ext cx="523875" cy="3619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23875" cy="361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</xdr:row>
      <xdr:rowOff>0</xdr:rowOff>
    </xdr:from>
    <xdr:ext cx="523875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523875" cy="361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23875" cy="361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</xdr:row>
      <xdr:rowOff>0</xdr:rowOff>
    </xdr:from>
    <xdr:ext cx="523875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523875" cy="361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523875" cy="361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23875" cy="361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</xdr:row>
      <xdr:rowOff>0</xdr:rowOff>
    </xdr:from>
    <xdr:ext cx="523875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523875" cy="361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523875" cy="361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23875" cy="361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</xdr:row>
      <xdr:rowOff>0</xdr:rowOff>
    </xdr:from>
    <xdr:ext cx="523875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523875" cy="361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23875" cy="361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</xdr:row>
      <xdr:rowOff>0</xdr:rowOff>
    </xdr:from>
    <xdr:ext cx="523875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523875" cy="361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23875" cy="361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</xdr:row>
      <xdr:rowOff>0</xdr:rowOff>
    </xdr:from>
    <xdr:ext cx="523875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523875" cy="361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523875" cy="361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23875" cy="361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</xdr:row>
      <xdr:rowOff>0</xdr:rowOff>
    </xdr:from>
    <xdr:ext cx="523875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523875" cy="361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523875" cy="361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23875" cy="361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</xdr:row>
      <xdr:rowOff>0</xdr:rowOff>
    </xdr:from>
    <xdr:ext cx="523875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</xdr:row>
      <xdr:rowOff>0</xdr:rowOff>
    </xdr:from>
    <xdr:ext cx="523875" cy="361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</xdr:row>
      <xdr:rowOff>0</xdr:rowOff>
    </xdr:from>
    <xdr:ext cx="523875" cy="361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523875" cy="3619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523875" cy="3619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</xdr:row>
      <xdr:rowOff>0</xdr:rowOff>
    </xdr:from>
    <xdr:ext cx="523875" cy="3619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</xdr:row>
      <xdr:rowOff>0</xdr:rowOff>
    </xdr:from>
    <xdr:ext cx="523875" cy="3619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</xdr:row>
      <xdr:rowOff>0</xdr:rowOff>
    </xdr:from>
    <xdr:ext cx="523875" cy="3619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</xdr:row>
      <xdr:rowOff>0</xdr:rowOff>
    </xdr:from>
    <xdr:ext cx="523875" cy="3619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</xdr:row>
      <xdr:rowOff>0</xdr:rowOff>
    </xdr:from>
    <xdr:ext cx="523875" cy="3619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U20"/>
  <sheetViews>
    <sheetView workbookViewId="0"/>
  </sheetViews>
  <sheetFormatPr baseColWidth="10" defaultColWidth="9.140625" defaultRowHeight="15" x14ac:dyDescent="0.25"/>
  <cols>
    <col min="1" max="1" width="10.85546875" customWidth="1"/>
    <col min="3" max="3" width="17.140625" customWidth="1"/>
    <col min="4" max="4" width="20.42578125" customWidth="1"/>
    <col min="5" max="5" width="10.85546875" customWidth="1"/>
    <col min="12" max="12" width="10.85546875" customWidth="1"/>
    <col min="13" max="13" width="7.85546875" customWidth="1"/>
    <col min="14" max="14" width="19.42578125" customWidth="1"/>
    <col min="15" max="15" width="10.85546875" customWidth="1"/>
  </cols>
  <sheetData>
    <row r="1" spans="3:21" ht="51" customHeight="1" x14ac:dyDescent="0.35">
      <c r="C1" s="77" t="s">
        <v>0</v>
      </c>
      <c r="D1" s="78"/>
      <c r="E1" s="78"/>
      <c r="F1" s="78"/>
      <c r="G1" s="78"/>
      <c r="H1" s="78"/>
      <c r="I1" s="78"/>
      <c r="J1" s="78"/>
      <c r="K1" s="78"/>
      <c r="L1" s="78"/>
    </row>
    <row r="2" spans="3:21" ht="27.95" customHeight="1" x14ac:dyDescent="0.25">
      <c r="C2" s="75" t="s">
        <v>1</v>
      </c>
      <c r="D2" s="76"/>
      <c r="E2" s="73">
        <v>15</v>
      </c>
      <c r="F2" s="73">
        <v>16</v>
      </c>
      <c r="G2" s="73">
        <v>17</v>
      </c>
      <c r="H2" s="73">
        <v>18</v>
      </c>
      <c r="I2" s="73">
        <v>19</v>
      </c>
      <c r="J2" s="73">
        <v>20</v>
      </c>
      <c r="K2" s="73">
        <v>21</v>
      </c>
      <c r="L2" s="73" t="s">
        <v>2</v>
      </c>
      <c r="M2" s="40" t="s">
        <v>3</v>
      </c>
      <c r="N2" s="40" t="s">
        <v>4</v>
      </c>
      <c r="O2" s="40" t="s">
        <v>5</v>
      </c>
      <c r="P2" s="40" t="s">
        <v>6</v>
      </c>
      <c r="Q2" s="40" t="s">
        <v>7</v>
      </c>
      <c r="R2" s="40" t="s">
        <v>8</v>
      </c>
      <c r="S2" s="40" t="s">
        <v>9</v>
      </c>
      <c r="T2" s="40" t="s">
        <v>10</v>
      </c>
      <c r="U2" s="40" t="s">
        <v>9</v>
      </c>
    </row>
    <row r="3" spans="3:21" ht="27.95" customHeight="1" x14ac:dyDescent="0.25">
      <c r="C3" s="41" t="s">
        <v>11</v>
      </c>
      <c r="D3" s="42"/>
      <c r="E3" s="74"/>
      <c r="F3" s="74"/>
      <c r="G3" s="74"/>
      <c r="H3" s="74"/>
      <c r="I3" s="74"/>
      <c r="J3" s="74"/>
      <c r="K3" s="74"/>
      <c r="L3" s="74"/>
      <c r="M3" s="43"/>
      <c r="N3" s="43"/>
      <c r="O3" s="44"/>
      <c r="P3" s="45"/>
      <c r="Q3" s="46"/>
      <c r="R3" s="43"/>
      <c r="S3" s="47"/>
      <c r="T3" s="48"/>
      <c r="U3" s="43"/>
    </row>
    <row r="4" spans="3:21" ht="33" customHeight="1" x14ac:dyDescent="0.25">
      <c r="C4" s="49" t="s">
        <v>12</v>
      </c>
      <c r="D4" s="50"/>
      <c r="E4" s="51">
        <v>300</v>
      </c>
      <c r="F4" s="51">
        <v>300</v>
      </c>
      <c r="G4" s="51">
        <v>300</v>
      </c>
      <c r="H4" s="51">
        <v>400</v>
      </c>
      <c r="I4" s="51">
        <v>1000</v>
      </c>
      <c r="J4" s="51">
        <v>1000</v>
      </c>
      <c r="K4" s="52">
        <v>600</v>
      </c>
      <c r="L4" s="53">
        <f t="shared" ref="L4:L19" si="0">SUM(E4:K4)</f>
        <v>3900</v>
      </c>
      <c r="M4" s="54" t="s">
        <v>12</v>
      </c>
      <c r="N4" s="55">
        <v>3900</v>
      </c>
      <c r="O4" s="56">
        <v>117</v>
      </c>
      <c r="P4" s="57">
        <v>284.89999999999998</v>
      </c>
      <c r="Q4" s="58">
        <v>78</v>
      </c>
      <c r="R4" s="59">
        <v>39</v>
      </c>
      <c r="S4" s="60">
        <f t="shared" ref="S4:S14" si="1">SUM(O4:R4)</f>
        <v>518.9</v>
      </c>
      <c r="T4" s="47" t="s">
        <v>13</v>
      </c>
      <c r="U4" s="59">
        <v>518.9</v>
      </c>
    </row>
    <row r="5" spans="3:21" ht="33" customHeight="1" x14ac:dyDescent="0.25">
      <c r="C5" s="49" t="s">
        <v>14</v>
      </c>
      <c r="D5" s="50"/>
      <c r="E5" s="51">
        <v>900</v>
      </c>
      <c r="F5" s="51">
        <v>600</v>
      </c>
      <c r="G5" s="51">
        <v>800</v>
      </c>
      <c r="H5" s="51">
        <v>500</v>
      </c>
      <c r="I5" s="51">
        <v>500</v>
      </c>
      <c r="J5" s="51">
        <v>800</v>
      </c>
      <c r="K5" s="52"/>
      <c r="L5" s="53">
        <f t="shared" si="0"/>
        <v>4100</v>
      </c>
      <c r="M5" s="54" t="s">
        <v>14</v>
      </c>
      <c r="N5" s="55">
        <v>4100</v>
      </c>
      <c r="O5" s="47" t="s">
        <v>13</v>
      </c>
      <c r="P5" s="57">
        <v>53.5</v>
      </c>
      <c r="Q5" s="58">
        <v>123</v>
      </c>
      <c r="R5" s="59">
        <v>41</v>
      </c>
      <c r="S5" s="60">
        <f t="shared" si="1"/>
        <v>217.5</v>
      </c>
      <c r="T5" s="47" t="s">
        <v>13</v>
      </c>
      <c r="U5" s="59">
        <v>217.5</v>
      </c>
    </row>
    <row r="6" spans="3:21" ht="33" customHeight="1" x14ac:dyDescent="0.25">
      <c r="C6" s="49" t="s">
        <v>15</v>
      </c>
      <c r="D6" s="50"/>
      <c r="E6" s="51">
        <v>400</v>
      </c>
      <c r="F6" s="51">
        <v>700</v>
      </c>
      <c r="G6" s="51">
        <v>700</v>
      </c>
      <c r="H6" s="51">
        <v>600</v>
      </c>
      <c r="I6" s="51">
        <v>300</v>
      </c>
      <c r="J6" s="51">
        <v>600</v>
      </c>
      <c r="K6" s="52"/>
      <c r="L6" s="53">
        <f t="shared" si="0"/>
        <v>3300</v>
      </c>
      <c r="M6" s="54" t="s">
        <v>15</v>
      </c>
      <c r="N6" s="55">
        <v>3300</v>
      </c>
      <c r="O6" s="56">
        <v>99</v>
      </c>
      <c r="P6" s="57">
        <v>83.4</v>
      </c>
      <c r="Q6" s="58">
        <v>99</v>
      </c>
      <c r="R6" s="59" t="s">
        <v>13</v>
      </c>
      <c r="S6" s="60">
        <f t="shared" si="1"/>
        <v>281.39999999999998</v>
      </c>
      <c r="T6" s="47" t="s">
        <v>13</v>
      </c>
      <c r="U6" s="59">
        <v>281.39999999999998</v>
      </c>
    </row>
    <row r="7" spans="3:21" ht="33" customHeight="1" x14ac:dyDescent="0.25">
      <c r="C7" s="49" t="s">
        <v>16</v>
      </c>
      <c r="D7" s="50"/>
      <c r="E7" s="51">
        <v>500</v>
      </c>
      <c r="F7" s="51">
        <v>800</v>
      </c>
      <c r="G7" s="51">
        <v>800</v>
      </c>
      <c r="H7" s="51">
        <v>500</v>
      </c>
      <c r="I7" s="51">
        <v>500</v>
      </c>
      <c r="J7" s="51">
        <v>400</v>
      </c>
      <c r="K7" s="52"/>
      <c r="L7" s="53">
        <f t="shared" si="0"/>
        <v>3500</v>
      </c>
      <c r="M7" s="54" t="s">
        <v>16</v>
      </c>
      <c r="N7" s="55">
        <v>3500</v>
      </c>
      <c r="O7" s="47" t="s">
        <v>13</v>
      </c>
      <c r="P7" s="47" t="s">
        <v>13</v>
      </c>
      <c r="Q7" s="58">
        <v>105</v>
      </c>
      <c r="R7" s="59" t="s">
        <v>13</v>
      </c>
      <c r="S7" s="60">
        <f t="shared" si="1"/>
        <v>105</v>
      </c>
      <c r="T7" s="61">
        <v>455</v>
      </c>
      <c r="U7" s="59">
        <v>560</v>
      </c>
    </row>
    <row r="8" spans="3:21" ht="33" customHeight="1" x14ac:dyDescent="0.25">
      <c r="C8" s="49" t="s">
        <v>17</v>
      </c>
      <c r="D8" s="50"/>
      <c r="E8" s="51">
        <v>500</v>
      </c>
      <c r="F8" s="51">
        <v>500</v>
      </c>
      <c r="G8" s="51">
        <v>500</v>
      </c>
      <c r="H8" s="51">
        <v>500</v>
      </c>
      <c r="I8" s="51">
        <v>500</v>
      </c>
      <c r="J8" s="51">
        <v>500</v>
      </c>
      <c r="K8" s="52"/>
      <c r="L8" s="53">
        <f t="shared" si="0"/>
        <v>3000</v>
      </c>
      <c r="M8" s="54" t="s">
        <v>17</v>
      </c>
      <c r="N8" s="55">
        <v>3000</v>
      </c>
      <c r="O8" s="56">
        <v>60</v>
      </c>
      <c r="P8" s="57">
        <v>83.3</v>
      </c>
      <c r="Q8" s="58">
        <v>30</v>
      </c>
      <c r="R8" s="59" t="s">
        <v>13</v>
      </c>
      <c r="S8" s="60">
        <f t="shared" si="1"/>
        <v>173.3</v>
      </c>
      <c r="T8" s="61">
        <v>100</v>
      </c>
      <c r="U8" s="59">
        <v>273.3</v>
      </c>
    </row>
    <row r="9" spans="3:21" ht="33" customHeight="1" x14ac:dyDescent="0.25">
      <c r="C9" s="49" t="s">
        <v>18</v>
      </c>
      <c r="D9" s="50"/>
      <c r="E9" s="51">
        <v>300</v>
      </c>
      <c r="F9" s="51">
        <v>300</v>
      </c>
      <c r="G9" s="51">
        <v>300</v>
      </c>
      <c r="H9" s="51">
        <v>300</v>
      </c>
      <c r="I9" s="51">
        <v>300</v>
      </c>
      <c r="J9" s="51">
        <v>300</v>
      </c>
      <c r="K9" s="52"/>
      <c r="L9" s="53">
        <f t="shared" si="0"/>
        <v>1800</v>
      </c>
      <c r="M9" s="54" t="s">
        <v>18</v>
      </c>
      <c r="N9" s="55">
        <v>1800</v>
      </c>
      <c r="O9" s="56">
        <v>108</v>
      </c>
      <c r="P9" s="57">
        <v>30</v>
      </c>
      <c r="Q9" s="58">
        <v>90</v>
      </c>
      <c r="R9" s="59" t="s">
        <v>13</v>
      </c>
      <c r="S9" s="60">
        <f t="shared" si="1"/>
        <v>228</v>
      </c>
      <c r="T9" s="61">
        <v>212</v>
      </c>
      <c r="U9" s="59">
        <v>440</v>
      </c>
    </row>
    <row r="10" spans="3:21" ht="33" customHeight="1" x14ac:dyDescent="0.25">
      <c r="C10" s="49" t="s">
        <v>19</v>
      </c>
      <c r="D10" s="50"/>
      <c r="E10" s="51">
        <v>300</v>
      </c>
      <c r="F10" s="51">
        <v>300</v>
      </c>
      <c r="G10" s="51">
        <v>300</v>
      </c>
      <c r="H10" s="51">
        <v>400</v>
      </c>
      <c r="I10" s="51">
        <v>400</v>
      </c>
      <c r="J10" s="51">
        <v>300</v>
      </c>
      <c r="K10" s="52"/>
      <c r="L10" s="53">
        <f t="shared" si="0"/>
        <v>2000</v>
      </c>
      <c r="M10" s="54" t="s">
        <v>19</v>
      </c>
      <c r="N10" s="55">
        <v>2000</v>
      </c>
      <c r="O10" s="56">
        <v>24.4</v>
      </c>
      <c r="P10" s="57">
        <v>86.1</v>
      </c>
      <c r="Q10" s="58">
        <v>161.1</v>
      </c>
      <c r="R10" s="59">
        <v>23.3</v>
      </c>
      <c r="S10" s="60">
        <f t="shared" si="1"/>
        <v>294.90000000000003</v>
      </c>
      <c r="T10" s="47" t="s">
        <v>13</v>
      </c>
      <c r="U10" s="59">
        <v>294.89999999999998</v>
      </c>
    </row>
    <row r="11" spans="3:21" ht="33" customHeight="1" x14ac:dyDescent="0.25">
      <c r="C11" s="49" t="s">
        <v>20</v>
      </c>
      <c r="D11" s="50"/>
      <c r="E11" s="51">
        <v>300</v>
      </c>
      <c r="F11" s="51">
        <v>300</v>
      </c>
      <c r="G11" s="51">
        <v>300</v>
      </c>
      <c r="H11" s="51">
        <v>300</v>
      </c>
      <c r="I11" s="51">
        <v>300</v>
      </c>
      <c r="J11" s="51">
        <v>300</v>
      </c>
      <c r="K11" s="52"/>
      <c r="L11" s="53">
        <f t="shared" si="0"/>
        <v>1800</v>
      </c>
      <c r="M11" s="54" t="s">
        <v>20</v>
      </c>
      <c r="N11" s="55">
        <v>1800</v>
      </c>
      <c r="O11" s="56">
        <v>72</v>
      </c>
      <c r="P11" s="57">
        <v>72.5</v>
      </c>
      <c r="Q11" s="58">
        <v>54</v>
      </c>
      <c r="R11" s="59">
        <v>18</v>
      </c>
      <c r="S11" s="60">
        <f t="shared" si="1"/>
        <v>216.5</v>
      </c>
      <c r="T11" s="47" t="s">
        <v>13</v>
      </c>
      <c r="U11" s="59">
        <v>216.5</v>
      </c>
    </row>
    <row r="12" spans="3:21" ht="33" customHeight="1" x14ac:dyDescent="0.25">
      <c r="C12" s="49" t="s">
        <v>21</v>
      </c>
      <c r="D12" s="50"/>
      <c r="E12" s="51">
        <v>300</v>
      </c>
      <c r="F12" s="51">
        <v>300</v>
      </c>
      <c r="G12" s="51">
        <v>300</v>
      </c>
      <c r="H12" s="51">
        <v>300</v>
      </c>
      <c r="I12" s="51">
        <v>300</v>
      </c>
      <c r="J12" s="51">
        <v>300</v>
      </c>
      <c r="K12" s="52"/>
      <c r="L12" s="53">
        <f t="shared" si="0"/>
        <v>1800</v>
      </c>
      <c r="M12" s="54" t="s">
        <v>21</v>
      </c>
      <c r="N12" s="55">
        <v>1800</v>
      </c>
      <c r="O12" s="56">
        <v>67</v>
      </c>
      <c r="P12" s="57">
        <v>70.5</v>
      </c>
      <c r="Q12" s="58">
        <v>329</v>
      </c>
      <c r="R12" s="59" t="s">
        <v>13</v>
      </c>
      <c r="S12" s="60">
        <f t="shared" si="1"/>
        <v>466.5</v>
      </c>
      <c r="T12" s="47" t="s">
        <v>13</v>
      </c>
      <c r="U12" s="59">
        <v>466.5</v>
      </c>
    </row>
    <row r="13" spans="3:21" ht="33" customHeight="1" x14ac:dyDescent="0.25">
      <c r="C13" s="49" t="s">
        <v>22</v>
      </c>
      <c r="D13" s="50"/>
      <c r="E13" s="51">
        <v>300</v>
      </c>
      <c r="F13" s="51">
        <v>300</v>
      </c>
      <c r="G13" s="51">
        <v>300</v>
      </c>
      <c r="H13" s="51"/>
      <c r="I13" s="51">
        <v>300</v>
      </c>
      <c r="J13" s="51">
        <v>300</v>
      </c>
      <c r="K13" s="52"/>
      <c r="L13" s="53">
        <f t="shared" si="0"/>
        <v>1500</v>
      </c>
      <c r="M13" s="54" t="s">
        <v>22</v>
      </c>
      <c r="N13" s="55">
        <v>1500</v>
      </c>
      <c r="O13" s="56">
        <v>75</v>
      </c>
      <c r="P13" s="57">
        <v>75</v>
      </c>
      <c r="Q13" s="58">
        <v>100</v>
      </c>
      <c r="R13" s="59">
        <v>25</v>
      </c>
      <c r="S13" s="60">
        <f t="shared" si="1"/>
        <v>275</v>
      </c>
      <c r="T13" s="47" t="s">
        <v>13</v>
      </c>
      <c r="U13" s="59">
        <v>275</v>
      </c>
    </row>
    <row r="14" spans="3:21" ht="33" customHeight="1" x14ac:dyDescent="0.25">
      <c r="C14" s="49" t="s">
        <v>23</v>
      </c>
      <c r="D14" s="50"/>
      <c r="E14" s="51">
        <v>700</v>
      </c>
      <c r="F14" s="51">
        <v>300</v>
      </c>
      <c r="G14" s="51"/>
      <c r="H14" s="51"/>
      <c r="I14" s="51"/>
      <c r="J14" s="51">
        <v>600</v>
      </c>
      <c r="K14" s="51"/>
      <c r="L14" s="53">
        <f t="shared" si="0"/>
        <v>1600</v>
      </c>
      <c r="M14" s="54" t="s">
        <v>23</v>
      </c>
      <c r="N14" s="55">
        <v>1600</v>
      </c>
      <c r="O14" s="47" t="s">
        <v>13</v>
      </c>
      <c r="P14" s="57">
        <v>55.6</v>
      </c>
      <c r="Q14" s="58">
        <v>64</v>
      </c>
      <c r="R14" s="59" t="s">
        <v>13</v>
      </c>
      <c r="S14" s="60">
        <f t="shared" si="1"/>
        <v>119.6</v>
      </c>
      <c r="T14" s="47" t="s">
        <v>13</v>
      </c>
      <c r="U14" s="59">
        <v>119.6</v>
      </c>
    </row>
    <row r="15" spans="3:21" ht="24" customHeight="1" x14ac:dyDescent="0.25">
      <c r="C15" s="49" t="s">
        <v>24</v>
      </c>
      <c r="D15" s="50"/>
      <c r="E15" s="51"/>
      <c r="F15" s="51"/>
      <c r="G15" s="51"/>
      <c r="H15" s="51"/>
      <c r="I15" s="51">
        <v>500</v>
      </c>
      <c r="J15" s="51">
        <v>500</v>
      </c>
      <c r="K15" s="51">
        <v>500</v>
      </c>
      <c r="L15" s="53">
        <f t="shared" si="0"/>
        <v>1500</v>
      </c>
      <c r="M15" s="62" t="s">
        <v>24</v>
      </c>
      <c r="N15" s="63">
        <v>1500</v>
      </c>
      <c r="O15" s="70" t="s">
        <v>25</v>
      </c>
      <c r="P15" s="71"/>
      <c r="Q15" s="71"/>
      <c r="R15" s="71"/>
      <c r="S15" s="71"/>
      <c r="T15" s="72"/>
      <c r="U15" s="64" t="s">
        <v>13</v>
      </c>
    </row>
    <row r="16" spans="3:21" ht="24" customHeight="1" x14ac:dyDescent="0.25">
      <c r="C16" s="49" t="s">
        <v>26</v>
      </c>
      <c r="D16" s="50"/>
      <c r="E16" s="51">
        <v>300</v>
      </c>
      <c r="F16" s="51">
        <v>300</v>
      </c>
      <c r="G16" s="51">
        <v>300</v>
      </c>
      <c r="H16" s="51">
        <v>300</v>
      </c>
      <c r="I16" s="51"/>
      <c r="J16" s="51"/>
      <c r="K16" s="51"/>
      <c r="L16" s="53">
        <f t="shared" si="0"/>
        <v>1200</v>
      </c>
      <c r="M16" s="62" t="s">
        <v>26</v>
      </c>
      <c r="N16" s="63">
        <v>1200</v>
      </c>
      <c r="O16" s="70" t="s">
        <v>25</v>
      </c>
      <c r="P16" s="71"/>
      <c r="Q16" s="71"/>
      <c r="R16" s="71"/>
      <c r="S16" s="71"/>
      <c r="T16" s="72"/>
      <c r="U16" s="64" t="s">
        <v>13</v>
      </c>
    </row>
    <row r="17" spans="3:21" ht="24" customHeight="1" x14ac:dyDescent="0.25">
      <c r="C17" s="49" t="s">
        <v>27</v>
      </c>
      <c r="D17" s="50"/>
      <c r="E17" s="51"/>
      <c r="F17" s="51"/>
      <c r="G17" s="51"/>
      <c r="H17" s="51"/>
      <c r="I17" s="51">
        <v>400</v>
      </c>
      <c r="J17" s="51">
        <v>400</v>
      </c>
      <c r="K17" s="51">
        <v>400</v>
      </c>
      <c r="L17" s="53">
        <f t="shared" si="0"/>
        <v>1200</v>
      </c>
      <c r="M17" s="62" t="s">
        <v>27</v>
      </c>
      <c r="N17" s="63">
        <v>1200</v>
      </c>
      <c r="O17" s="70" t="s">
        <v>25</v>
      </c>
      <c r="P17" s="71"/>
      <c r="Q17" s="71"/>
      <c r="R17" s="71"/>
      <c r="S17" s="71"/>
      <c r="T17" s="72"/>
      <c r="U17" s="64" t="s">
        <v>13</v>
      </c>
    </row>
    <row r="18" spans="3:21" ht="24" customHeight="1" x14ac:dyDescent="0.25">
      <c r="C18" s="49" t="s">
        <v>28</v>
      </c>
      <c r="D18" s="50"/>
      <c r="E18" s="51"/>
      <c r="F18" s="51"/>
      <c r="G18" s="51"/>
      <c r="H18" s="51"/>
      <c r="I18" s="51">
        <v>400</v>
      </c>
      <c r="J18" s="51">
        <v>400</v>
      </c>
      <c r="K18" s="51">
        <v>400</v>
      </c>
      <c r="L18" s="53">
        <f t="shared" si="0"/>
        <v>1200</v>
      </c>
      <c r="M18" s="62" t="s">
        <v>28</v>
      </c>
      <c r="N18" s="63">
        <v>1200</v>
      </c>
      <c r="O18" s="70" t="s">
        <v>25</v>
      </c>
      <c r="P18" s="71"/>
      <c r="Q18" s="71"/>
      <c r="R18" s="71"/>
      <c r="S18" s="71"/>
      <c r="T18" s="72"/>
      <c r="U18" s="64" t="s">
        <v>13</v>
      </c>
    </row>
    <row r="19" spans="3:21" ht="24" customHeight="1" x14ac:dyDescent="0.25">
      <c r="E19" s="65">
        <f t="shared" ref="E19:K19" si="2">SUM(E4:E18)</f>
        <v>5100</v>
      </c>
      <c r="F19" s="65">
        <f t="shared" si="2"/>
        <v>5000</v>
      </c>
      <c r="G19" s="65">
        <f t="shared" si="2"/>
        <v>4900</v>
      </c>
      <c r="H19" s="65">
        <f t="shared" si="2"/>
        <v>4100</v>
      </c>
      <c r="I19" s="65">
        <f t="shared" si="2"/>
        <v>5700</v>
      </c>
      <c r="J19" s="65">
        <f t="shared" si="2"/>
        <v>6700</v>
      </c>
      <c r="K19" s="65">
        <f t="shared" si="2"/>
        <v>1900</v>
      </c>
      <c r="L19" s="65">
        <f t="shared" si="0"/>
        <v>33400</v>
      </c>
      <c r="M19" s="66" t="s">
        <v>29</v>
      </c>
      <c r="N19" s="67">
        <v>33400</v>
      </c>
      <c r="O19" s="68">
        <v>622.4</v>
      </c>
      <c r="P19" s="68">
        <v>894.8</v>
      </c>
      <c r="Q19" s="68">
        <v>1233.0999999999999</v>
      </c>
      <c r="R19" s="68">
        <v>146.30000000000001</v>
      </c>
      <c r="S19" s="68">
        <f>SUM(S4:S14)</f>
        <v>2896.6</v>
      </c>
      <c r="T19" s="68">
        <v>767</v>
      </c>
      <c r="U19" s="68">
        <v>3663.6</v>
      </c>
    </row>
    <row r="20" spans="3:21" ht="15.75" x14ac:dyDescent="0.25">
      <c r="C20" s="69"/>
      <c r="D20" s="69"/>
      <c r="E20" s="69"/>
      <c r="F20" s="69"/>
      <c r="G20" s="69"/>
      <c r="H20" s="69"/>
      <c r="I20" s="69"/>
      <c r="J20" s="69"/>
      <c r="K20" s="69"/>
      <c r="L20" s="69"/>
    </row>
  </sheetData>
  <mergeCells count="14">
    <mergeCell ref="C1:L1"/>
    <mergeCell ref="K2:K3"/>
    <mergeCell ref="O17:T17"/>
    <mergeCell ref="F2:F3"/>
    <mergeCell ref="E2:E3"/>
    <mergeCell ref="J2:J3"/>
    <mergeCell ref="I2:I3"/>
    <mergeCell ref="G2:G3"/>
    <mergeCell ref="L2:L3"/>
    <mergeCell ref="O16:T16"/>
    <mergeCell ref="H2:H3"/>
    <mergeCell ref="C2:D2"/>
    <mergeCell ref="O18:T18"/>
    <mergeCell ref="O15:T1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pane ySplit="4" topLeftCell="A5" activePane="bottomLeft" state="frozen"/>
      <selection pane="bottomLeft" sqref="A1:J1"/>
    </sheetView>
  </sheetViews>
  <sheetFormatPr baseColWidth="10" defaultColWidth="9.140625" defaultRowHeight="15" x14ac:dyDescent="0.25"/>
  <cols>
    <col min="1" max="1" width="9" customWidth="1"/>
    <col min="2" max="2" width="22" customWidth="1"/>
    <col min="3" max="10" width="10" customWidth="1"/>
  </cols>
  <sheetData>
    <row r="1" spans="1:10" ht="18.75" x14ac:dyDescent="0.3">
      <c r="A1" s="79" t="s">
        <v>30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25">
      <c r="A2" s="81" t="s">
        <v>31</v>
      </c>
      <c r="B2" s="80"/>
      <c r="C2" s="80"/>
      <c r="D2" s="80"/>
      <c r="E2" s="80"/>
      <c r="F2" s="80"/>
      <c r="G2" s="80"/>
      <c r="H2" s="80"/>
      <c r="I2" s="80"/>
      <c r="J2" s="80"/>
    </row>
    <row r="4" spans="1:10" x14ac:dyDescent="0.25">
      <c r="A4" s="1"/>
      <c r="B4" s="1" t="s">
        <v>3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</row>
    <row r="5" spans="1:10" ht="33" customHeight="1" x14ac:dyDescent="0.25">
      <c r="B5" s="2" t="s">
        <v>12</v>
      </c>
      <c r="C5" s="3">
        <v>1300</v>
      </c>
      <c r="D5" s="3">
        <v>1300</v>
      </c>
      <c r="E5" s="3">
        <v>1300</v>
      </c>
      <c r="F5" s="3"/>
      <c r="G5" s="3"/>
      <c r="H5" s="3"/>
      <c r="I5" s="3"/>
      <c r="J5" s="4">
        <f t="shared" ref="J5:J19" si="0">SUM(C5:I5)</f>
        <v>3900</v>
      </c>
    </row>
    <row r="6" spans="1:10" ht="33" customHeight="1" x14ac:dyDescent="0.25">
      <c r="B6" s="2" t="s">
        <v>14</v>
      </c>
      <c r="C6" s="3"/>
      <c r="D6" s="3">
        <v>1300</v>
      </c>
      <c r="E6" s="3"/>
      <c r="F6" s="3"/>
      <c r="G6" s="3"/>
      <c r="H6" s="3">
        <v>1300</v>
      </c>
      <c r="I6" s="3">
        <v>1500</v>
      </c>
      <c r="J6" s="4">
        <f t="shared" si="0"/>
        <v>4100</v>
      </c>
    </row>
    <row r="7" spans="1:10" ht="33" customHeight="1" x14ac:dyDescent="0.25">
      <c r="B7" s="2" t="s">
        <v>15</v>
      </c>
      <c r="C7" s="3">
        <v>1100</v>
      </c>
      <c r="D7" s="3"/>
      <c r="E7" s="3"/>
      <c r="F7" s="3"/>
      <c r="G7" s="3"/>
      <c r="H7" s="3">
        <v>1100</v>
      </c>
      <c r="I7" s="3">
        <v>1100</v>
      </c>
      <c r="J7" s="4">
        <f t="shared" si="0"/>
        <v>3300</v>
      </c>
    </row>
    <row r="8" spans="1:10" ht="33" customHeight="1" x14ac:dyDescent="0.25">
      <c r="B8" s="2" t="s">
        <v>16</v>
      </c>
      <c r="C8" s="3"/>
      <c r="D8" s="3"/>
      <c r="E8" s="3">
        <v>1100</v>
      </c>
      <c r="F8" s="3">
        <v>1100</v>
      </c>
      <c r="G8" s="3">
        <v>1300</v>
      </c>
      <c r="H8" s="3"/>
      <c r="I8" s="3"/>
      <c r="J8" s="4">
        <f t="shared" si="0"/>
        <v>3500</v>
      </c>
    </row>
    <row r="9" spans="1:10" ht="33" customHeight="1" x14ac:dyDescent="0.25">
      <c r="B9" s="2" t="s">
        <v>17</v>
      </c>
      <c r="C9" s="3"/>
      <c r="D9" s="3"/>
      <c r="E9" s="3"/>
      <c r="F9" s="3"/>
      <c r="G9" s="3"/>
      <c r="H9" s="3">
        <v>1500</v>
      </c>
      <c r="I9" s="3">
        <v>1500</v>
      </c>
      <c r="J9" s="4">
        <f t="shared" si="0"/>
        <v>3000</v>
      </c>
    </row>
    <row r="10" spans="1:10" ht="33" customHeight="1" x14ac:dyDescent="0.25">
      <c r="B10" s="2" t="s">
        <v>18</v>
      </c>
      <c r="C10" s="3"/>
      <c r="D10" s="3"/>
      <c r="E10" s="3"/>
      <c r="F10" s="3"/>
      <c r="G10" s="3"/>
      <c r="H10" s="3">
        <v>900</v>
      </c>
      <c r="I10" s="3">
        <v>900</v>
      </c>
      <c r="J10" s="4">
        <f t="shared" si="0"/>
        <v>1800</v>
      </c>
    </row>
    <row r="11" spans="1:10" ht="33" customHeight="1" x14ac:dyDescent="0.25">
      <c r="B11" s="2" t="s">
        <v>19</v>
      </c>
      <c r="C11" s="3"/>
      <c r="D11" s="3">
        <v>1000</v>
      </c>
      <c r="E11" s="3">
        <v>1000</v>
      </c>
      <c r="F11" s="3"/>
      <c r="G11" s="3"/>
      <c r="H11" s="3"/>
      <c r="I11" s="3"/>
      <c r="J11" s="4">
        <f t="shared" si="0"/>
        <v>2000</v>
      </c>
    </row>
    <row r="12" spans="1:10" ht="33" customHeight="1" x14ac:dyDescent="0.25">
      <c r="B12" s="2" t="s">
        <v>20</v>
      </c>
      <c r="C12" s="3"/>
      <c r="D12" s="3"/>
      <c r="E12" s="3"/>
      <c r="F12" s="3">
        <v>900</v>
      </c>
      <c r="G12" s="3">
        <v>900</v>
      </c>
      <c r="H12" s="3"/>
      <c r="I12" s="3"/>
      <c r="J12" s="4">
        <f t="shared" si="0"/>
        <v>1800</v>
      </c>
    </row>
    <row r="13" spans="1:10" ht="33" customHeight="1" x14ac:dyDescent="0.25">
      <c r="B13" s="2" t="s">
        <v>21</v>
      </c>
      <c r="C13" s="3"/>
      <c r="D13" s="3"/>
      <c r="E13" s="3"/>
      <c r="F13" s="3">
        <v>900</v>
      </c>
      <c r="G13" s="3">
        <v>900</v>
      </c>
      <c r="H13" s="3"/>
      <c r="I13" s="3"/>
      <c r="J13" s="4">
        <f t="shared" si="0"/>
        <v>1800</v>
      </c>
    </row>
    <row r="14" spans="1:10" ht="33" customHeight="1" x14ac:dyDescent="0.25">
      <c r="B14" s="2" t="s">
        <v>22</v>
      </c>
      <c r="C14" s="3">
        <v>1500</v>
      </c>
      <c r="D14" s="3"/>
      <c r="E14" s="3"/>
      <c r="F14" s="3"/>
      <c r="G14" s="3"/>
      <c r="H14" s="3"/>
      <c r="I14" s="3"/>
      <c r="J14" s="4">
        <f t="shared" si="0"/>
        <v>1500</v>
      </c>
    </row>
    <row r="15" spans="1:10" ht="33" customHeight="1" x14ac:dyDescent="0.25">
      <c r="B15" s="2" t="s">
        <v>23</v>
      </c>
      <c r="C15" s="3"/>
      <c r="D15" s="3">
        <v>800</v>
      </c>
      <c r="E15" s="3">
        <v>800</v>
      </c>
      <c r="F15" s="3"/>
      <c r="G15" s="3"/>
      <c r="H15" s="3"/>
      <c r="I15" s="3"/>
      <c r="J15" s="4">
        <f t="shared" si="0"/>
        <v>1600</v>
      </c>
    </row>
    <row r="16" spans="1:10" x14ac:dyDescent="0.25">
      <c r="B16" s="5" t="s">
        <v>24</v>
      </c>
      <c r="C16" s="6">
        <v>500</v>
      </c>
      <c r="D16" s="6"/>
      <c r="E16" s="6"/>
      <c r="F16" s="6">
        <v>500</v>
      </c>
      <c r="G16" s="6">
        <v>500</v>
      </c>
      <c r="H16" s="6"/>
      <c r="I16" s="6"/>
      <c r="J16" s="7">
        <f t="shared" si="0"/>
        <v>1500</v>
      </c>
    </row>
    <row r="17" spans="1:10" x14ac:dyDescent="0.25">
      <c r="B17" s="5" t="s">
        <v>26</v>
      </c>
      <c r="C17" s="6"/>
      <c r="D17" s="6"/>
      <c r="E17" s="6"/>
      <c r="F17" s="6">
        <v>600</v>
      </c>
      <c r="G17" s="6">
        <v>600</v>
      </c>
      <c r="H17" s="6"/>
      <c r="I17" s="6"/>
      <c r="J17" s="7">
        <f t="shared" si="0"/>
        <v>1200</v>
      </c>
    </row>
    <row r="18" spans="1:10" x14ac:dyDescent="0.25">
      <c r="B18" s="5" t="s">
        <v>27</v>
      </c>
      <c r="C18" s="6"/>
      <c r="D18" s="6"/>
      <c r="E18" s="6">
        <v>600</v>
      </c>
      <c r="F18" s="6">
        <v>600</v>
      </c>
      <c r="G18" s="6"/>
      <c r="H18" s="6"/>
      <c r="I18" s="6"/>
      <c r="J18" s="7">
        <f t="shared" si="0"/>
        <v>1200</v>
      </c>
    </row>
    <row r="19" spans="1:10" x14ac:dyDescent="0.25">
      <c r="B19" s="5" t="s">
        <v>28</v>
      </c>
      <c r="C19" s="6">
        <v>600</v>
      </c>
      <c r="D19" s="6"/>
      <c r="E19" s="6"/>
      <c r="F19" s="6"/>
      <c r="G19" s="6">
        <v>600</v>
      </c>
      <c r="H19" s="6"/>
      <c r="I19" s="6"/>
      <c r="J19" s="7">
        <f t="shared" si="0"/>
        <v>1200</v>
      </c>
    </row>
    <row r="20" spans="1:10" x14ac:dyDescent="0.25">
      <c r="A20" s="1"/>
      <c r="B20" s="1" t="s">
        <v>29</v>
      </c>
      <c r="C20" s="8">
        <f t="shared" ref="C20:J20" si="1">SUM(C5:C19)</f>
        <v>5000</v>
      </c>
      <c r="D20" s="8">
        <f t="shared" si="1"/>
        <v>4400</v>
      </c>
      <c r="E20" s="8">
        <f t="shared" si="1"/>
        <v>4800</v>
      </c>
      <c r="F20" s="8">
        <f t="shared" si="1"/>
        <v>4600</v>
      </c>
      <c r="G20" s="8">
        <f t="shared" si="1"/>
        <v>4800</v>
      </c>
      <c r="H20" s="8">
        <f t="shared" si="1"/>
        <v>4800</v>
      </c>
      <c r="I20" s="8">
        <f t="shared" si="1"/>
        <v>5000</v>
      </c>
      <c r="J20" s="8">
        <f t="shared" si="1"/>
        <v>33400</v>
      </c>
    </row>
  </sheetData>
  <mergeCells count="2">
    <mergeCell ref="A1:J1"/>
    <mergeCell ref="A2:J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5" topLeftCell="A6" activePane="bottomLeft" state="frozen"/>
      <selection pane="bottomLeft" sqref="A1:T1"/>
    </sheetView>
  </sheetViews>
  <sheetFormatPr baseColWidth="10" defaultColWidth="9.140625" defaultRowHeight="15" x14ac:dyDescent="0.25"/>
  <cols>
    <col min="1" max="1" width="9" customWidth="1"/>
    <col min="2" max="2" width="22" customWidth="1"/>
    <col min="3" max="20" width="11" customWidth="1"/>
  </cols>
  <sheetData>
    <row r="1" spans="1:20" ht="18.75" x14ac:dyDescent="0.3">
      <c r="A1" s="79" t="s">
        <v>40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 ht="15.75" x14ac:dyDescent="0.25">
      <c r="B2" s="9" t="s">
        <v>41</v>
      </c>
      <c r="C2" s="10">
        <v>9</v>
      </c>
      <c r="D2" s="11" t="s">
        <v>42</v>
      </c>
      <c r="F2" s="10">
        <v>4</v>
      </c>
      <c r="H2" s="11" t="s">
        <v>42</v>
      </c>
      <c r="J2" s="10">
        <v>6</v>
      </c>
      <c r="L2" s="11" t="s">
        <v>42</v>
      </c>
      <c r="N2" s="10">
        <v>8</v>
      </c>
    </row>
    <row r="3" spans="1:20" x14ac:dyDescent="0.25">
      <c r="A3" s="1"/>
      <c r="B3" s="1" t="s">
        <v>3</v>
      </c>
      <c r="C3" s="1" t="s">
        <v>4</v>
      </c>
      <c r="D3" s="82" t="s">
        <v>5</v>
      </c>
      <c r="E3" s="84"/>
      <c r="F3" s="84"/>
      <c r="G3" s="83"/>
      <c r="H3" s="82" t="s">
        <v>6</v>
      </c>
      <c r="I3" s="84"/>
      <c r="J3" s="84"/>
      <c r="K3" s="83"/>
      <c r="L3" s="82" t="s">
        <v>7</v>
      </c>
      <c r="M3" s="84"/>
      <c r="N3" s="84"/>
      <c r="O3" s="83"/>
      <c r="P3" s="82" t="s">
        <v>8</v>
      </c>
      <c r="Q3" s="83"/>
      <c r="R3" s="82" t="s">
        <v>10</v>
      </c>
      <c r="S3" s="83"/>
      <c r="T3" s="1" t="s">
        <v>29</v>
      </c>
    </row>
    <row r="4" spans="1:20" x14ac:dyDescent="0.25">
      <c r="A4" s="1"/>
      <c r="B4" s="1"/>
      <c r="C4" s="1"/>
      <c r="D4" s="1" t="s">
        <v>43</v>
      </c>
      <c r="E4" s="1" t="s">
        <v>44</v>
      </c>
      <c r="F4" s="1" t="s">
        <v>45</v>
      </c>
      <c r="G4" s="1" t="s">
        <v>46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43</v>
      </c>
      <c r="Q4" s="1" t="s">
        <v>44</v>
      </c>
      <c r="R4" s="1" t="s">
        <v>43</v>
      </c>
      <c r="S4" s="1" t="s">
        <v>44</v>
      </c>
      <c r="T4" s="1" t="s">
        <v>47</v>
      </c>
    </row>
    <row r="5" spans="1:20" x14ac:dyDescent="0.25">
      <c r="A5" s="12"/>
      <c r="B5" s="12"/>
      <c r="C5" s="12"/>
      <c r="D5" s="13"/>
      <c r="E5" s="13"/>
      <c r="F5" s="13"/>
      <c r="G5" s="13"/>
      <c r="H5" s="14"/>
      <c r="I5" s="14"/>
      <c r="J5" s="14"/>
      <c r="K5" s="14"/>
      <c r="L5" s="15"/>
      <c r="M5" s="15"/>
      <c r="N5" s="15"/>
      <c r="O5" s="15"/>
      <c r="P5" s="16"/>
      <c r="Q5" s="16"/>
      <c r="R5" s="17"/>
      <c r="S5" s="17"/>
      <c r="T5" s="12"/>
    </row>
    <row r="6" spans="1:20" ht="33" customHeight="1" x14ac:dyDescent="0.25">
      <c r="B6" s="2" t="s">
        <v>12</v>
      </c>
      <c r="C6" s="3">
        <v>3900</v>
      </c>
      <c r="D6" s="18">
        <v>108</v>
      </c>
      <c r="E6" s="19">
        <f>C6*D6/3600</f>
        <v>117</v>
      </c>
      <c r="F6" s="19">
        <f>E6/$F$2</f>
        <v>29.25</v>
      </c>
      <c r="G6" s="19">
        <f>F6/$C$2</f>
        <v>3.25</v>
      </c>
      <c r="H6" s="20">
        <v>263</v>
      </c>
      <c r="I6" s="21">
        <f>C6*H6/3600</f>
        <v>284.91666666666669</v>
      </c>
      <c r="J6" s="21">
        <f>I6/$J$2</f>
        <v>47.486111111111114</v>
      </c>
      <c r="K6" s="21">
        <f>J6/$C$2</f>
        <v>5.276234567901235</v>
      </c>
      <c r="L6" s="22">
        <v>72</v>
      </c>
      <c r="M6" s="23">
        <f t="shared" ref="M6:M16" si="0">C6*L6/3600</f>
        <v>78</v>
      </c>
      <c r="N6" s="23">
        <f t="shared" ref="N6:N16" si="1">M6/$N$2</f>
        <v>9.75</v>
      </c>
      <c r="O6" s="23">
        <f t="shared" ref="O6:O16" si="2">N6/$C$2</f>
        <v>1.0833333333333333</v>
      </c>
      <c r="P6" s="24">
        <v>36</v>
      </c>
      <c r="Q6" s="25">
        <f>C6*P6/3600</f>
        <v>39</v>
      </c>
      <c r="R6" s="26" t="s">
        <v>13</v>
      </c>
      <c r="S6" s="26" t="s">
        <v>13</v>
      </c>
      <c r="T6" s="27">
        <f>E6+I6+M6+Q6</f>
        <v>518.91666666666674</v>
      </c>
    </row>
    <row r="7" spans="1:20" ht="33" customHeight="1" x14ac:dyDescent="0.25">
      <c r="B7" s="2" t="s">
        <v>14</v>
      </c>
      <c r="C7" s="3">
        <v>4100</v>
      </c>
      <c r="D7" s="26" t="s">
        <v>13</v>
      </c>
      <c r="E7" s="26" t="s">
        <v>13</v>
      </c>
      <c r="F7" s="26" t="s">
        <v>13</v>
      </c>
      <c r="G7" s="26" t="s">
        <v>13</v>
      </c>
      <c r="H7" s="20">
        <v>47</v>
      </c>
      <c r="I7" s="21">
        <f>C7*H7/3600</f>
        <v>53.527777777777779</v>
      </c>
      <c r="J7" s="21">
        <f>I7/$J$2</f>
        <v>8.9212962962962958</v>
      </c>
      <c r="K7" s="21">
        <f>J7/$C$2</f>
        <v>0.99125514403292181</v>
      </c>
      <c r="L7" s="22">
        <v>108</v>
      </c>
      <c r="M7" s="23">
        <f t="shared" si="0"/>
        <v>123</v>
      </c>
      <c r="N7" s="23">
        <f t="shared" si="1"/>
        <v>15.375</v>
      </c>
      <c r="O7" s="23">
        <f t="shared" si="2"/>
        <v>1.7083333333333333</v>
      </c>
      <c r="P7" s="24">
        <v>36</v>
      </c>
      <c r="Q7" s="25">
        <f>C7*P7/3600</f>
        <v>41</v>
      </c>
      <c r="R7" s="26" t="s">
        <v>13</v>
      </c>
      <c r="S7" s="26" t="s">
        <v>13</v>
      </c>
      <c r="T7" s="27">
        <f>I7+M7+Q7</f>
        <v>217.52777777777777</v>
      </c>
    </row>
    <row r="8" spans="1:20" ht="33" customHeight="1" x14ac:dyDescent="0.25">
      <c r="B8" s="2" t="s">
        <v>15</v>
      </c>
      <c r="C8" s="3">
        <v>3300</v>
      </c>
      <c r="D8" s="18">
        <v>108</v>
      </c>
      <c r="E8" s="19">
        <f>C8*D8/3600</f>
        <v>99</v>
      </c>
      <c r="F8" s="19">
        <f>E8/$F$2</f>
        <v>24.75</v>
      </c>
      <c r="G8" s="19">
        <f>F8/$C$2</f>
        <v>2.75</v>
      </c>
      <c r="H8" s="20">
        <v>91</v>
      </c>
      <c r="I8" s="21">
        <f>C8*H8/3600</f>
        <v>83.416666666666671</v>
      </c>
      <c r="J8" s="21">
        <f>I8/$J$2</f>
        <v>13.902777777777779</v>
      </c>
      <c r="K8" s="21">
        <f>J8/$C$2</f>
        <v>1.5447530864197532</v>
      </c>
      <c r="L8" s="22">
        <v>108</v>
      </c>
      <c r="M8" s="23">
        <f t="shared" si="0"/>
        <v>99</v>
      </c>
      <c r="N8" s="23">
        <f t="shared" si="1"/>
        <v>12.375</v>
      </c>
      <c r="O8" s="23">
        <f t="shared" si="2"/>
        <v>1.375</v>
      </c>
      <c r="P8" s="26" t="s">
        <v>13</v>
      </c>
      <c r="Q8" s="26" t="s">
        <v>13</v>
      </c>
      <c r="R8" s="26" t="s">
        <v>13</v>
      </c>
      <c r="S8" s="26" t="s">
        <v>13</v>
      </c>
      <c r="T8" s="27">
        <f>E8+I8+M8</f>
        <v>281.41666666666669</v>
      </c>
    </row>
    <row r="9" spans="1:20" ht="33" customHeight="1" x14ac:dyDescent="0.25">
      <c r="B9" s="2" t="s">
        <v>16</v>
      </c>
      <c r="C9" s="3">
        <v>3500</v>
      </c>
      <c r="D9" s="26" t="s">
        <v>13</v>
      </c>
      <c r="E9" s="26" t="s">
        <v>13</v>
      </c>
      <c r="F9" s="26" t="s">
        <v>13</v>
      </c>
      <c r="G9" s="26" t="s">
        <v>13</v>
      </c>
      <c r="H9" s="26" t="s">
        <v>13</v>
      </c>
      <c r="I9" s="26" t="s">
        <v>13</v>
      </c>
      <c r="J9" s="26" t="s">
        <v>13</v>
      </c>
      <c r="K9" s="26" t="s">
        <v>13</v>
      </c>
      <c r="L9" s="22">
        <v>108</v>
      </c>
      <c r="M9" s="23">
        <f t="shared" si="0"/>
        <v>105</v>
      </c>
      <c r="N9" s="23">
        <f t="shared" si="1"/>
        <v>13.125</v>
      </c>
      <c r="O9" s="23">
        <f t="shared" si="2"/>
        <v>1.4583333333333333</v>
      </c>
      <c r="P9" s="26" t="s">
        <v>13</v>
      </c>
      <c r="Q9" s="26" t="s">
        <v>13</v>
      </c>
      <c r="R9" s="28">
        <v>468</v>
      </c>
      <c r="S9" s="29">
        <f>C9*R9/3600</f>
        <v>455</v>
      </c>
      <c r="T9" s="27">
        <f>M9+S9</f>
        <v>560</v>
      </c>
    </row>
    <row r="10" spans="1:20" ht="33" customHeight="1" x14ac:dyDescent="0.25">
      <c r="B10" s="2" t="s">
        <v>17</v>
      </c>
      <c r="C10" s="3">
        <v>3000</v>
      </c>
      <c r="D10" s="18">
        <v>72</v>
      </c>
      <c r="E10" s="19">
        <f t="shared" ref="E10:E15" si="3">C10*D10/3600</f>
        <v>60</v>
      </c>
      <c r="F10" s="19">
        <f t="shared" ref="F10:F15" si="4">E10/$F$2</f>
        <v>15</v>
      </c>
      <c r="G10" s="19">
        <f t="shared" ref="G10:G15" si="5">F10/$C$2</f>
        <v>1.6666666666666667</v>
      </c>
      <c r="H10" s="20">
        <v>100</v>
      </c>
      <c r="I10" s="21">
        <f t="shared" ref="I10:I16" si="6">C10*H10/3600</f>
        <v>83.333333333333329</v>
      </c>
      <c r="J10" s="21">
        <f t="shared" ref="J10:J16" si="7">I10/$J$2</f>
        <v>13.888888888888888</v>
      </c>
      <c r="K10" s="21">
        <f t="shared" ref="K10:K16" si="8">J10/$C$2</f>
        <v>1.5432098765432096</v>
      </c>
      <c r="L10" s="22">
        <v>36</v>
      </c>
      <c r="M10" s="23">
        <f t="shared" si="0"/>
        <v>30</v>
      </c>
      <c r="N10" s="23">
        <f t="shared" si="1"/>
        <v>3.75</v>
      </c>
      <c r="O10" s="23">
        <f t="shared" si="2"/>
        <v>0.41666666666666669</v>
      </c>
      <c r="P10" s="26" t="s">
        <v>13</v>
      </c>
      <c r="Q10" s="26" t="s">
        <v>13</v>
      </c>
      <c r="R10" s="28">
        <v>120</v>
      </c>
      <c r="S10" s="29">
        <f>C10*R10/3600</f>
        <v>100</v>
      </c>
      <c r="T10" s="27">
        <f>E10+I10+M10+S10</f>
        <v>273.33333333333331</v>
      </c>
    </row>
    <row r="11" spans="1:20" ht="33" customHeight="1" x14ac:dyDescent="0.25">
      <c r="B11" s="2" t="s">
        <v>18</v>
      </c>
      <c r="C11" s="3">
        <v>1800</v>
      </c>
      <c r="D11" s="18">
        <v>216</v>
      </c>
      <c r="E11" s="19">
        <f t="shared" si="3"/>
        <v>108</v>
      </c>
      <c r="F11" s="19">
        <f t="shared" si="4"/>
        <v>27</v>
      </c>
      <c r="G11" s="19">
        <f t="shared" si="5"/>
        <v>3</v>
      </c>
      <c r="H11" s="20">
        <v>60</v>
      </c>
      <c r="I11" s="21">
        <f t="shared" si="6"/>
        <v>30</v>
      </c>
      <c r="J11" s="21">
        <f t="shared" si="7"/>
        <v>5</v>
      </c>
      <c r="K11" s="21">
        <f t="shared" si="8"/>
        <v>0.55555555555555558</v>
      </c>
      <c r="L11" s="22">
        <v>180</v>
      </c>
      <c r="M11" s="23">
        <f t="shared" si="0"/>
        <v>90</v>
      </c>
      <c r="N11" s="23">
        <f t="shared" si="1"/>
        <v>11.25</v>
      </c>
      <c r="O11" s="23">
        <f t="shared" si="2"/>
        <v>1.25</v>
      </c>
      <c r="P11" s="26" t="s">
        <v>13</v>
      </c>
      <c r="Q11" s="26" t="s">
        <v>13</v>
      </c>
      <c r="R11" s="28">
        <v>424</v>
      </c>
      <c r="S11" s="29">
        <f>C11*R11/3600</f>
        <v>212</v>
      </c>
      <c r="T11" s="27">
        <f>E11+I11+M11+S11</f>
        <v>440</v>
      </c>
    </row>
    <row r="12" spans="1:20" ht="33" customHeight="1" x14ac:dyDescent="0.25">
      <c r="B12" s="2" t="s">
        <v>19</v>
      </c>
      <c r="C12" s="3">
        <v>2000</v>
      </c>
      <c r="D12" s="18">
        <v>44</v>
      </c>
      <c r="E12" s="19">
        <f t="shared" si="3"/>
        <v>24.444444444444443</v>
      </c>
      <c r="F12" s="19">
        <f t="shared" si="4"/>
        <v>6.1111111111111107</v>
      </c>
      <c r="G12" s="19">
        <f t="shared" si="5"/>
        <v>0.67901234567901225</v>
      </c>
      <c r="H12" s="20">
        <v>155</v>
      </c>
      <c r="I12" s="21">
        <f t="shared" si="6"/>
        <v>86.111111111111114</v>
      </c>
      <c r="J12" s="21">
        <f t="shared" si="7"/>
        <v>14.351851851851853</v>
      </c>
      <c r="K12" s="21">
        <f t="shared" si="8"/>
        <v>1.594650205761317</v>
      </c>
      <c r="L12" s="22">
        <v>290</v>
      </c>
      <c r="M12" s="23">
        <f t="shared" si="0"/>
        <v>161.11111111111111</v>
      </c>
      <c r="N12" s="23">
        <f t="shared" si="1"/>
        <v>20.138888888888889</v>
      </c>
      <c r="O12" s="23">
        <f t="shared" si="2"/>
        <v>2.2376543209876543</v>
      </c>
      <c r="P12" s="24">
        <v>42</v>
      </c>
      <c r="Q12" s="25">
        <f>C12*P12/3600</f>
        <v>23.333333333333332</v>
      </c>
      <c r="R12" s="26" t="s">
        <v>13</v>
      </c>
      <c r="S12" s="26" t="s">
        <v>13</v>
      </c>
      <c r="T12" s="27">
        <f>E12+I12+M12+Q12</f>
        <v>295</v>
      </c>
    </row>
    <row r="13" spans="1:20" ht="33" customHeight="1" x14ac:dyDescent="0.25">
      <c r="B13" s="2" t="s">
        <v>20</v>
      </c>
      <c r="C13" s="3">
        <v>1800</v>
      </c>
      <c r="D13" s="18">
        <v>144</v>
      </c>
      <c r="E13" s="19">
        <f t="shared" si="3"/>
        <v>72</v>
      </c>
      <c r="F13" s="19">
        <f t="shared" si="4"/>
        <v>18</v>
      </c>
      <c r="G13" s="19">
        <f t="shared" si="5"/>
        <v>2</v>
      </c>
      <c r="H13" s="20">
        <v>145</v>
      </c>
      <c r="I13" s="21">
        <f t="shared" si="6"/>
        <v>72.5</v>
      </c>
      <c r="J13" s="21">
        <f t="shared" si="7"/>
        <v>12.083333333333334</v>
      </c>
      <c r="K13" s="21">
        <f t="shared" si="8"/>
        <v>1.3425925925925926</v>
      </c>
      <c r="L13" s="22">
        <v>108</v>
      </c>
      <c r="M13" s="23">
        <f t="shared" si="0"/>
        <v>54</v>
      </c>
      <c r="N13" s="23">
        <f t="shared" si="1"/>
        <v>6.75</v>
      </c>
      <c r="O13" s="23">
        <f t="shared" si="2"/>
        <v>0.75</v>
      </c>
      <c r="P13" s="24">
        <v>36</v>
      </c>
      <c r="Q13" s="25">
        <f>C13*P13/3600</f>
        <v>18</v>
      </c>
      <c r="R13" s="26" t="s">
        <v>13</v>
      </c>
      <c r="S13" s="26" t="s">
        <v>13</v>
      </c>
      <c r="T13" s="27">
        <f>E13+I13+M13+Q13</f>
        <v>216.5</v>
      </c>
    </row>
    <row r="14" spans="1:20" ht="33" customHeight="1" x14ac:dyDescent="0.25">
      <c r="B14" s="2" t="s">
        <v>21</v>
      </c>
      <c r="C14" s="3">
        <v>1800</v>
      </c>
      <c r="D14" s="18">
        <v>134</v>
      </c>
      <c r="E14" s="19">
        <f t="shared" si="3"/>
        <v>67</v>
      </c>
      <c r="F14" s="19">
        <f t="shared" si="4"/>
        <v>16.75</v>
      </c>
      <c r="G14" s="19">
        <f t="shared" si="5"/>
        <v>1.8611111111111112</v>
      </c>
      <c r="H14" s="20">
        <v>141</v>
      </c>
      <c r="I14" s="21">
        <f t="shared" si="6"/>
        <v>70.5</v>
      </c>
      <c r="J14" s="21">
        <f t="shared" si="7"/>
        <v>11.75</v>
      </c>
      <c r="K14" s="21">
        <f t="shared" si="8"/>
        <v>1.3055555555555556</v>
      </c>
      <c r="L14" s="22">
        <v>658</v>
      </c>
      <c r="M14" s="23">
        <f t="shared" si="0"/>
        <v>329</v>
      </c>
      <c r="N14" s="23">
        <f t="shared" si="1"/>
        <v>41.125</v>
      </c>
      <c r="O14" s="23">
        <f t="shared" si="2"/>
        <v>4.5694444444444446</v>
      </c>
      <c r="P14" s="26" t="s">
        <v>13</v>
      </c>
      <c r="Q14" s="26" t="s">
        <v>13</v>
      </c>
      <c r="R14" s="26" t="s">
        <v>13</v>
      </c>
      <c r="S14" s="26" t="s">
        <v>13</v>
      </c>
      <c r="T14" s="27">
        <f>E14+I14+M14</f>
        <v>466.5</v>
      </c>
    </row>
    <row r="15" spans="1:20" ht="33" customHeight="1" x14ac:dyDescent="0.25">
      <c r="B15" s="2" t="s">
        <v>22</v>
      </c>
      <c r="C15" s="3">
        <v>1500</v>
      </c>
      <c r="D15" s="18">
        <v>180</v>
      </c>
      <c r="E15" s="19">
        <f t="shared" si="3"/>
        <v>75</v>
      </c>
      <c r="F15" s="19">
        <f t="shared" si="4"/>
        <v>18.75</v>
      </c>
      <c r="G15" s="19">
        <f t="shared" si="5"/>
        <v>2.0833333333333335</v>
      </c>
      <c r="H15" s="20">
        <v>180</v>
      </c>
      <c r="I15" s="21">
        <f t="shared" si="6"/>
        <v>75</v>
      </c>
      <c r="J15" s="21">
        <f t="shared" si="7"/>
        <v>12.5</v>
      </c>
      <c r="K15" s="21">
        <f t="shared" si="8"/>
        <v>1.3888888888888888</v>
      </c>
      <c r="L15" s="22">
        <v>240</v>
      </c>
      <c r="M15" s="23">
        <f t="shared" si="0"/>
        <v>100</v>
      </c>
      <c r="N15" s="23">
        <f t="shared" si="1"/>
        <v>12.5</v>
      </c>
      <c r="O15" s="23">
        <f t="shared" si="2"/>
        <v>1.3888888888888888</v>
      </c>
      <c r="P15" s="24">
        <v>60</v>
      </c>
      <c r="Q15" s="25">
        <f>C15*P15/3600</f>
        <v>25</v>
      </c>
      <c r="R15" s="26" t="s">
        <v>13</v>
      </c>
      <c r="S15" s="26" t="s">
        <v>13</v>
      </c>
      <c r="T15" s="27">
        <f>E15+I15+M15+Q15</f>
        <v>275</v>
      </c>
    </row>
    <row r="16" spans="1:20" ht="33" customHeight="1" x14ac:dyDescent="0.25">
      <c r="B16" s="2" t="s">
        <v>23</v>
      </c>
      <c r="C16" s="3">
        <v>1600</v>
      </c>
      <c r="D16" s="26" t="s">
        <v>13</v>
      </c>
      <c r="E16" s="26" t="s">
        <v>13</v>
      </c>
      <c r="F16" s="26" t="s">
        <v>13</v>
      </c>
      <c r="G16" s="26" t="s">
        <v>13</v>
      </c>
      <c r="H16" s="20">
        <v>125</v>
      </c>
      <c r="I16" s="21">
        <f t="shared" si="6"/>
        <v>55.555555555555557</v>
      </c>
      <c r="J16" s="21">
        <f t="shared" si="7"/>
        <v>9.2592592592592595</v>
      </c>
      <c r="K16" s="21">
        <f t="shared" si="8"/>
        <v>1.0288065843621399</v>
      </c>
      <c r="L16" s="22">
        <v>144</v>
      </c>
      <c r="M16" s="23">
        <f t="shared" si="0"/>
        <v>64</v>
      </c>
      <c r="N16" s="23">
        <f t="shared" si="1"/>
        <v>8</v>
      </c>
      <c r="O16" s="23">
        <f t="shared" si="2"/>
        <v>0.88888888888888884</v>
      </c>
      <c r="P16" s="26" t="s">
        <v>13</v>
      </c>
      <c r="Q16" s="26" t="s">
        <v>13</v>
      </c>
      <c r="R16" s="26" t="s">
        <v>13</v>
      </c>
      <c r="S16" s="26" t="s">
        <v>13</v>
      </c>
      <c r="T16" s="27">
        <f>I16+M16</f>
        <v>119.55555555555556</v>
      </c>
    </row>
    <row r="17" spans="1:20" x14ac:dyDescent="0.25">
      <c r="B17" s="5" t="s">
        <v>24</v>
      </c>
      <c r="C17" s="6">
        <v>1500</v>
      </c>
      <c r="D17" s="85" t="s">
        <v>25</v>
      </c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3"/>
      <c r="T17" s="30" t="s">
        <v>13</v>
      </c>
    </row>
    <row r="18" spans="1:20" x14ac:dyDescent="0.25">
      <c r="B18" s="5" t="s">
        <v>26</v>
      </c>
      <c r="C18" s="6">
        <v>1200</v>
      </c>
      <c r="D18" s="85" t="s">
        <v>25</v>
      </c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3"/>
      <c r="T18" s="30" t="s">
        <v>13</v>
      </c>
    </row>
    <row r="19" spans="1:20" x14ac:dyDescent="0.25">
      <c r="B19" s="5" t="s">
        <v>27</v>
      </c>
      <c r="C19" s="6">
        <v>1200</v>
      </c>
      <c r="D19" s="85" t="s">
        <v>25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3"/>
      <c r="T19" s="30" t="s">
        <v>13</v>
      </c>
    </row>
    <row r="20" spans="1:20" x14ac:dyDescent="0.25">
      <c r="B20" s="5" t="s">
        <v>28</v>
      </c>
      <c r="C20" s="6">
        <v>1200</v>
      </c>
      <c r="D20" s="85" t="s">
        <v>25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3"/>
      <c r="T20" s="30" t="s">
        <v>13</v>
      </c>
    </row>
    <row r="21" spans="1:20" x14ac:dyDescent="0.25">
      <c r="A21" s="1"/>
      <c r="B21" s="1" t="s">
        <v>29</v>
      </c>
      <c r="C21" s="8">
        <f>SUM(C6:C20)</f>
        <v>33400</v>
      </c>
      <c r="D21" s="1"/>
      <c r="E21" s="31">
        <f>SUM(E6:E20)</f>
        <v>622.44444444444446</v>
      </c>
      <c r="F21" s="31">
        <f>SUM(F6:F20)</f>
        <v>155.61111111111111</v>
      </c>
      <c r="G21" s="31">
        <f>SUM(G6:G20)</f>
        <v>17.290123456790123</v>
      </c>
      <c r="H21" s="1"/>
      <c r="I21" s="31">
        <f>SUM(I6:I20)</f>
        <v>894.86111111111109</v>
      </c>
      <c r="J21" s="31">
        <f>SUM(J6:J20)</f>
        <v>149.1435185185185</v>
      </c>
      <c r="K21" s="31">
        <f>SUM(K6:K20)</f>
        <v>16.571502057613166</v>
      </c>
      <c r="L21" s="1"/>
      <c r="M21" s="31">
        <f>SUM(M6:M20)</f>
        <v>1233.1111111111111</v>
      </c>
      <c r="N21" s="31">
        <f>SUM(N6:N20)</f>
        <v>154.13888888888889</v>
      </c>
      <c r="O21" s="31">
        <f>SUM(O6:O20)</f>
        <v>17.126543209876541</v>
      </c>
      <c r="P21" s="1"/>
      <c r="Q21" s="31">
        <f>SUM(Q6:Q20)</f>
        <v>146.33333333333331</v>
      </c>
      <c r="R21" s="1"/>
      <c r="S21" s="31">
        <f>SUM(S6:S20)</f>
        <v>767</v>
      </c>
      <c r="T21" s="31">
        <f>SUM(T6:T20)</f>
        <v>3663.75</v>
      </c>
    </row>
  </sheetData>
  <mergeCells count="10">
    <mergeCell ref="D20:S20"/>
    <mergeCell ref="D19:S19"/>
    <mergeCell ref="A1:T1"/>
    <mergeCell ref="P3:Q3"/>
    <mergeCell ref="D3:G3"/>
    <mergeCell ref="H3:K3"/>
    <mergeCell ref="D18:S18"/>
    <mergeCell ref="L3:O3"/>
    <mergeCell ref="D17:S17"/>
    <mergeCell ref="R3:S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"/>
  <sheetViews>
    <sheetView workbookViewId="0">
      <pane ySplit="5" topLeftCell="A6" activePane="bottomLeft" state="frozen"/>
      <selection pane="bottomLeft" sqref="A1:T1"/>
    </sheetView>
  </sheetViews>
  <sheetFormatPr baseColWidth="10" defaultColWidth="9.140625" defaultRowHeight="15" x14ac:dyDescent="0.25"/>
  <cols>
    <col min="1" max="1" width="9" customWidth="1"/>
    <col min="2" max="2" width="22" customWidth="1"/>
    <col min="3" max="20" width="11" customWidth="1"/>
  </cols>
  <sheetData>
    <row r="1" spans="1:20" ht="18.75" x14ac:dyDescent="0.3">
      <c r="A1" s="79" t="s">
        <v>48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 ht="15.75" x14ac:dyDescent="0.25">
      <c r="B2" s="9" t="s">
        <v>41</v>
      </c>
      <c r="C2" s="10">
        <v>9</v>
      </c>
      <c r="D2" s="11" t="s">
        <v>42</v>
      </c>
      <c r="F2" s="10">
        <v>4</v>
      </c>
      <c r="H2" s="11" t="s">
        <v>42</v>
      </c>
      <c r="J2" s="10">
        <v>6</v>
      </c>
      <c r="L2" s="11" t="s">
        <v>42</v>
      </c>
      <c r="N2" s="10">
        <v>8</v>
      </c>
    </row>
    <row r="3" spans="1:20" x14ac:dyDescent="0.25">
      <c r="A3" s="1"/>
      <c r="B3" s="1" t="s">
        <v>3</v>
      </c>
      <c r="C3" s="1" t="s">
        <v>49</v>
      </c>
      <c r="D3" s="82" t="s">
        <v>5</v>
      </c>
      <c r="E3" s="84"/>
      <c r="F3" s="84"/>
      <c r="G3" s="83"/>
      <c r="H3" s="82" t="s">
        <v>6</v>
      </c>
      <c r="I3" s="84"/>
      <c r="J3" s="84"/>
      <c r="K3" s="83"/>
      <c r="L3" s="82" t="s">
        <v>7</v>
      </c>
      <c r="M3" s="84"/>
      <c r="N3" s="84"/>
      <c r="O3" s="83"/>
      <c r="P3" s="82" t="s">
        <v>8</v>
      </c>
      <c r="Q3" s="83"/>
      <c r="R3" s="82" t="s">
        <v>10</v>
      </c>
      <c r="S3" s="83"/>
      <c r="T3" s="1" t="s">
        <v>29</v>
      </c>
    </row>
    <row r="4" spans="1:20" x14ac:dyDescent="0.25">
      <c r="A4" s="1"/>
      <c r="B4" s="1"/>
      <c r="C4" s="1"/>
      <c r="D4" s="1" t="s">
        <v>43</v>
      </c>
      <c r="E4" s="1" t="s">
        <v>44</v>
      </c>
      <c r="F4" s="1" t="s">
        <v>45</v>
      </c>
      <c r="G4" s="1" t="s">
        <v>46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43</v>
      </c>
      <c r="Q4" s="1" t="s">
        <v>44</v>
      </c>
      <c r="R4" s="1" t="s">
        <v>43</v>
      </c>
      <c r="S4" s="1" t="s">
        <v>44</v>
      </c>
      <c r="T4" s="1" t="s">
        <v>47</v>
      </c>
    </row>
    <row r="5" spans="1:20" x14ac:dyDescent="0.25">
      <c r="A5" s="12"/>
      <c r="B5" s="12"/>
      <c r="C5" s="12"/>
      <c r="D5" s="13"/>
      <c r="E5" s="13"/>
      <c r="F5" s="13"/>
      <c r="G5" s="13"/>
      <c r="H5" s="14"/>
      <c r="I5" s="14"/>
      <c r="J5" s="14"/>
      <c r="K5" s="14"/>
      <c r="L5" s="15"/>
      <c r="M5" s="15"/>
      <c r="N5" s="15"/>
      <c r="O5" s="15"/>
      <c r="P5" s="16"/>
      <c r="Q5" s="16"/>
      <c r="R5" s="17"/>
      <c r="S5" s="17"/>
      <c r="T5" s="12"/>
    </row>
    <row r="6" spans="1:20" ht="33" customHeight="1" x14ac:dyDescent="0.25">
      <c r="B6" s="2" t="s">
        <v>12</v>
      </c>
      <c r="C6" s="3">
        <v>1300</v>
      </c>
      <c r="D6" s="18">
        <v>108</v>
      </c>
      <c r="E6" s="19">
        <f>C6*D6/3600</f>
        <v>39</v>
      </c>
      <c r="F6" s="19">
        <f>E6/$F$2</f>
        <v>9.75</v>
      </c>
      <c r="G6" s="19">
        <f>F6/$C$2</f>
        <v>1.0833333333333333</v>
      </c>
      <c r="H6" s="20">
        <v>263</v>
      </c>
      <c r="I6" s="21">
        <f>C6*H6/3600</f>
        <v>94.972222222222229</v>
      </c>
      <c r="J6" s="21">
        <f>I6/$J$2</f>
        <v>15.828703703703704</v>
      </c>
      <c r="K6" s="21">
        <f>J6/$C$2</f>
        <v>1.7587448559670782</v>
      </c>
      <c r="L6" s="22">
        <v>72</v>
      </c>
      <c r="M6" s="23">
        <f>C6*L6/3600</f>
        <v>26</v>
      </c>
      <c r="N6" s="23">
        <f>M6/$N$2</f>
        <v>3.25</v>
      </c>
      <c r="O6" s="23">
        <f>N6/$C$2</f>
        <v>0.3611111111111111</v>
      </c>
      <c r="P6" s="24">
        <v>36</v>
      </c>
      <c r="Q6" s="25">
        <f>C6*P6/3600</f>
        <v>13</v>
      </c>
      <c r="R6" s="26" t="s">
        <v>13</v>
      </c>
      <c r="S6" s="26" t="s">
        <v>13</v>
      </c>
      <c r="T6" s="27">
        <f>E6+I6+M6+Q6</f>
        <v>172.97222222222223</v>
      </c>
    </row>
    <row r="7" spans="1:20" ht="33" customHeight="1" x14ac:dyDescent="0.25">
      <c r="B7" s="2" t="s">
        <v>15</v>
      </c>
      <c r="C7" s="3">
        <v>1100</v>
      </c>
      <c r="D7" s="18">
        <v>108</v>
      </c>
      <c r="E7" s="19">
        <f>C7*D7/3600</f>
        <v>33</v>
      </c>
      <c r="F7" s="19">
        <f>E7/$F$2</f>
        <v>8.25</v>
      </c>
      <c r="G7" s="19">
        <f>F7/$C$2</f>
        <v>0.91666666666666663</v>
      </c>
      <c r="H7" s="20">
        <v>91</v>
      </c>
      <c r="I7" s="21">
        <f>C7*H7/3600</f>
        <v>27.805555555555557</v>
      </c>
      <c r="J7" s="21">
        <f>I7/$J$2</f>
        <v>4.6342592592592595</v>
      </c>
      <c r="K7" s="21">
        <f>J7/$C$2</f>
        <v>0.51491769547325106</v>
      </c>
      <c r="L7" s="22">
        <v>108</v>
      </c>
      <c r="M7" s="23">
        <f>C7*L7/3600</f>
        <v>33</v>
      </c>
      <c r="N7" s="23">
        <f>M7/$N$2</f>
        <v>4.125</v>
      </c>
      <c r="O7" s="23">
        <f>N7/$C$2</f>
        <v>0.45833333333333331</v>
      </c>
      <c r="P7" s="26" t="s">
        <v>13</v>
      </c>
      <c r="Q7" s="26" t="s">
        <v>13</v>
      </c>
      <c r="R7" s="26" t="s">
        <v>13</v>
      </c>
      <c r="S7" s="26" t="s">
        <v>13</v>
      </c>
      <c r="T7" s="27">
        <f>E7+I7+M7</f>
        <v>93.805555555555557</v>
      </c>
    </row>
    <row r="8" spans="1:20" ht="33" customHeight="1" x14ac:dyDescent="0.25">
      <c r="B8" s="2" t="s">
        <v>22</v>
      </c>
      <c r="C8" s="3">
        <v>1500</v>
      </c>
      <c r="D8" s="18">
        <v>180</v>
      </c>
      <c r="E8" s="19">
        <f>C8*D8/3600</f>
        <v>75</v>
      </c>
      <c r="F8" s="19">
        <f>E8/$F$2</f>
        <v>18.75</v>
      </c>
      <c r="G8" s="19">
        <f>F8/$C$2</f>
        <v>2.0833333333333335</v>
      </c>
      <c r="H8" s="20">
        <v>180</v>
      </c>
      <c r="I8" s="21">
        <f>C8*H8/3600</f>
        <v>75</v>
      </c>
      <c r="J8" s="21">
        <f>I8/$J$2</f>
        <v>12.5</v>
      </c>
      <c r="K8" s="21">
        <f>J8/$C$2</f>
        <v>1.3888888888888888</v>
      </c>
      <c r="L8" s="22">
        <v>240</v>
      </c>
      <c r="M8" s="23">
        <f>C8*L8/3600</f>
        <v>100</v>
      </c>
      <c r="N8" s="23">
        <f>M8/$N$2</f>
        <v>12.5</v>
      </c>
      <c r="O8" s="23">
        <f>N8/$C$2</f>
        <v>1.3888888888888888</v>
      </c>
      <c r="P8" s="24">
        <v>60</v>
      </c>
      <c r="Q8" s="25">
        <f>C8*P8/3600</f>
        <v>25</v>
      </c>
      <c r="R8" s="26" t="s">
        <v>13</v>
      </c>
      <c r="S8" s="26" t="s">
        <v>13</v>
      </c>
      <c r="T8" s="27">
        <f>E8+I8+M8+Q8</f>
        <v>275</v>
      </c>
    </row>
    <row r="9" spans="1:20" x14ac:dyDescent="0.25">
      <c r="B9" s="5" t="s">
        <v>24</v>
      </c>
      <c r="C9" s="6">
        <v>500</v>
      </c>
      <c r="D9" s="85" t="s">
        <v>25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3"/>
      <c r="T9" s="30" t="s">
        <v>13</v>
      </c>
    </row>
    <row r="10" spans="1:20" x14ac:dyDescent="0.25">
      <c r="B10" s="5" t="s">
        <v>28</v>
      </c>
      <c r="C10" s="6">
        <v>600</v>
      </c>
      <c r="D10" s="85" t="s">
        <v>25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3"/>
      <c r="T10" s="30" t="s">
        <v>13</v>
      </c>
    </row>
    <row r="11" spans="1:20" x14ac:dyDescent="0.25">
      <c r="A11" s="1"/>
      <c r="B11" s="1" t="s">
        <v>29</v>
      </c>
      <c r="C11" s="8">
        <f>SUM(C6:C10)</f>
        <v>5000</v>
      </c>
      <c r="D11" s="1"/>
      <c r="E11" s="31">
        <f>SUM(E6:E10)</f>
        <v>147</v>
      </c>
      <c r="F11" s="31">
        <f>SUM(F6:F10)</f>
        <v>36.75</v>
      </c>
      <c r="G11" s="31">
        <f>SUM(G6:G10)</f>
        <v>4.0833333333333339</v>
      </c>
      <c r="H11" s="1"/>
      <c r="I11" s="31">
        <f>SUM(I6:I10)</f>
        <v>197.77777777777777</v>
      </c>
      <c r="J11" s="31">
        <f>SUM(J6:J10)</f>
        <v>32.962962962962962</v>
      </c>
      <c r="K11" s="31">
        <f>SUM(K6:K10)</f>
        <v>3.6625514403292181</v>
      </c>
      <c r="L11" s="1"/>
      <c r="M11" s="31">
        <f>SUM(M6:M10)</f>
        <v>159</v>
      </c>
      <c r="N11" s="31">
        <f>SUM(N6:N10)</f>
        <v>19.875</v>
      </c>
      <c r="O11" s="31">
        <f>SUM(O6:O10)</f>
        <v>2.208333333333333</v>
      </c>
      <c r="P11" s="1"/>
      <c r="Q11" s="31">
        <f>SUM(Q6:Q10)</f>
        <v>38</v>
      </c>
      <c r="R11" s="1"/>
      <c r="S11" s="31">
        <f>SUM(S6:S10)</f>
        <v>0</v>
      </c>
      <c r="T11" s="31">
        <f>SUM(T6:T10)</f>
        <v>541.77777777777783</v>
      </c>
    </row>
  </sheetData>
  <mergeCells count="8">
    <mergeCell ref="A1:T1"/>
    <mergeCell ref="D10:S10"/>
    <mergeCell ref="P3:Q3"/>
    <mergeCell ref="D3:G3"/>
    <mergeCell ref="H3:K3"/>
    <mergeCell ref="L3:O3"/>
    <mergeCell ref="D9:S9"/>
    <mergeCell ref="R3:S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"/>
  <sheetViews>
    <sheetView workbookViewId="0">
      <pane ySplit="5" topLeftCell="A6" activePane="bottomLeft" state="frozen"/>
      <selection pane="bottomLeft" sqref="A1:T1"/>
    </sheetView>
  </sheetViews>
  <sheetFormatPr baseColWidth="10" defaultColWidth="9.140625" defaultRowHeight="15" x14ac:dyDescent="0.25"/>
  <cols>
    <col min="1" max="1" width="9" customWidth="1"/>
    <col min="2" max="2" width="22" customWidth="1"/>
    <col min="3" max="20" width="11" customWidth="1"/>
  </cols>
  <sheetData>
    <row r="1" spans="1:20" ht="18.75" x14ac:dyDescent="0.3">
      <c r="A1" s="79" t="s">
        <v>50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 ht="15.75" x14ac:dyDescent="0.25">
      <c r="B2" s="9" t="s">
        <v>41</v>
      </c>
      <c r="C2" s="10">
        <v>9</v>
      </c>
      <c r="D2" s="11" t="s">
        <v>42</v>
      </c>
      <c r="F2" s="10">
        <v>4</v>
      </c>
      <c r="H2" s="11" t="s">
        <v>42</v>
      </c>
      <c r="J2" s="10">
        <v>6</v>
      </c>
      <c r="L2" s="11" t="s">
        <v>42</v>
      </c>
      <c r="N2" s="10">
        <v>8</v>
      </c>
    </row>
    <row r="3" spans="1:20" x14ac:dyDescent="0.25">
      <c r="A3" s="1"/>
      <c r="B3" s="1" t="s">
        <v>3</v>
      </c>
      <c r="C3" s="1" t="s">
        <v>49</v>
      </c>
      <c r="D3" s="82" t="s">
        <v>5</v>
      </c>
      <c r="E3" s="84"/>
      <c r="F3" s="84"/>
      <c r="G3" s="83"/>
      <c r="H3" s="82" t="s">
        <v>6</v>
      </c>
      <c r="I3" s="84"/>
      <c r="J3" s="84"/>
      <c r="K3" s="83"/>
      <c r="L3" s="82" t="s">
        <v>7</v>
      </c>
      <c r="M3" s="84"/>
      <c r="N3" s="84"/>
      <c r="O3" s="83"/>
      <c r="P3" s="82" t="s">
        <v>8</v>
      </c>
      <c r="Q3" s="83"/>
      <c r="R3" s="82" t="s">
        <v>10</v>
      </c>
      <c r="S3" s="83"/>
      <c r="T3" s="1" t="s">
        <v>29</v>
      </c>
    </row>
    <row r="4" spans="1:20" x14ac:dyDescent="0.25">
      <c r="A4" s="1"/>
      <c r="B4" s="1"/>
      <c r="C4" s="1"/>
      <c r="D4" s="1" t="s">
        <v>43</v>
      </c>
      <c r="E4" s="1" t="s">
        <v>44</v>
      </c>
      <c r="F4" s="1" t="s">
        <v>45</v>
      </c>
      <c r="G4" s="1" t="s">
        <v>46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43</v>
      </c>
      <c r="Q4" s="1" t="s">
        <v>44</v>
      </c>
      <c r="R4" s="1" t="s">
        <v>43</v>
      </c>
      <c r="S4" s="1" t="s">
        <v>44</v>
      </c>
      <c r="T4" s="1" t="s">
        <v>47</v>
      </c>
    </row>
    <row r="5" spans="1:20" x14ac:dyDescent="0.25">
      <c r="A5" s="12"/>
      <c r="B5" s="12"/>
      <c r="C5" s="12"/>
      <c r="D5" s="13"/>
      <c r="E5" s="13"/>
      <c r="F5" s="13"/>
      <c r="G5" s="13"/>
      <c r="H5" s="14"/>
      <c r="I5" s="14"/>
      <c r="J5" s="14"/>
      <c r="K5" s="14"/>
      <c r="L5" s="15"/>
      <c r="M5" s="15"/>
      <c r="N5" s="15"/>
      <c r="O5" s="15"/>
      <c r="P5" s="16"/>
      <c r="Q5" s="16"/>
      <c r="R5" s="17"/>
      <c r="S5" s="17"/>
      <c r="T5" s="12"/>
    </row>
    <row r="6" spans="1:20" ht="33" customHeight="1" x14ac:dyDescent="0.25">
      <c r="B6" s="2" t="s">
        <v>12</v>
      </c>
      <c r="C6" s="3">
        <v>1300</v>
      </c>
      <c r="D6" s="18">
        <v>108</v>
      </c>
      <c r="E6" s="19">
        <f>C6*D6/3600</f>
        <v>39</v>
      </c>
      <c r="F6" s="19">
        <f>E6/$F$2</f>
        <v>9.75</v>
      </c>
      <c r="G6" s="19">
        <f>F6/$C$2</f>
        <v>1.0833333333333333</v>
      </c>
      <c r="H6" s="20">
        <v>263</v>
      </c>
      <c r="I6" s="21">
        <f>C6*H6/3600</f>
        <v>94.972222222222229</v>
      </c>
      <c r="J6" s="21">
        <f>I6/$J$2</f>
        <v>15.828703703703704</v>
      </c>
      <c r="K6" s="21">
        <f>J6/$C$2</f>
        <v>1.7587448559670782</v>
      </c>
      <c r="L6" s="22">
        <v>72</v>
      </c>
      <c r="M6" s="23">
        <f>C6*L6/3600</f>
        <v>26</v>
      </c>
      <c r="N6" s="23">
        <f>M6/$N$2</f>
        <v>3.25</v>
      </c>
      <c r="O6" s="23">
        <f>N6/$C$2</f>
        <v>0.3611111111111111</v>
      </c>
      <c r="P6" s="24">
        <v>36</v>
      </c>
      <c r="Q6" s="25">
        <f>C6*P6/3600</f>
        <v>13</v>
      </c>
      <c r="R6" s="26" t="s">
        <v>13</v>
      </c>
      <c r="S6" s="26" t="s">
        <v>13</v>
      </c>
      <c r="T6" s="27">
        <f>E6+I6+M6+Q6</f>
        <v>172.97222222222223</v>
      </c>
    </row>
    <row r="7" spans="1:20" ht="33" customHeight="1" x14ac:dyDescent="0.25">
      <c r="B7" s="2" t="s">
        <v>14</v>
      </c>
      <c r="C7" s="3">
        <v>1300</v>
      </c>
      <c r="D7" s="26" t="s">
        <v>13</v>
      </c>
      <c r="E7" s="26" t="s">
        <v>13</v>
      </c>
      <c r="F7" s="26" t="s">
        <v>13</v>
      </c>
      <c r="G7" s="26" t="s">
        <v>13</v>
      </c>
      <c r="H7" s="20">
        <v>47</v>
      </c>
      <c r="I7" s="21">
        <f>C7*H7/3600</f>
        <v>16.972222222222221</v>
      </c>
      <c r="J7" s="21">
        <f>I7/$J$2</f>
        <v>2.8287037037037037</v>
      </c>
      <c r="K7" s="21">
        <f>J7/$C$2</f>
        <v>0.31430041152263377</v>
      </c>
      <c r="L7" s="22">
        <v>108</v>
      </c>
      <c r="M7" s="23">
        <f>C7*L7/3600</f>
        <v>39</v>
      </c>
      <c r="N7" s="23">
        <f>M7/$N$2</f>
        <v>4.875</v>
      </c>
      <c r="O7" s="23">
        <f>N7/$C$2</f>
        <v>0.54166666666666663</v>
      </c>
      <c r="P7" s="24">
        <v>36</v>
      </c>
      <c r="Q7" s="25">
        <f>C7*P7/3600</f>
        <v>13</v>
      </c>
      <c r="R7" s="26" t="s">
        <v>13</v>
      </c>
      <c r="S7" s="26" t="s">
        <v>13</v>
      </c>
      <c r="T7" s="27">
        <f>I7+M7+Q7</f>
        <v>68.972222222222229</v>
      </c>
    </row>
    <row r="8" spans="1:20" ht="33" customHeight="1" x14ac:dyDescent="0.25">
      <c r="B8" s="2" t="s">
        <v>19</v>
      </c>
      <c r="C8" s="3">
        <v>1000</v>
      </c>
      <c r="D8" s="18">
        <v>44</v>
      </c>
      <c r="E8" s="19">
        <f>C8*D8/3600</f>
        <v>12.222222222222221</v>
      </c>
      <c r="F8" s="19">
        <f>E8/$F$2</f>
        <v>3.0555555555555554</v>
      </c>
      <c r="G8" s="19">
        <f>F8/$C$2</f>
        <v>0.33950617283950613</v>
      </c>
      <c r="H8" s="20">
        <v>155</v>
      </c>
      <c r="I8" s="21">
        <f>C8*H8/3600</f>
        <v>43.055555555555557</v>
      </c>
      <c r="J8" s="21">
        <f>I8/$J$2</f>
        <v>7.1759259259259265</v>
      </c>
      <c r="K8" s="21">
        <f>J8/$C$2</f>
        <v>0.7973251028806585</v>
      </c>
      <c r="L8" s="22">
        <v>290</v>
      </c>
      <c r="M8" s="23">
        <f>C8*L8/3600</f>
        <v>80.555555555555557</v>
      </c>
      <c r="N8" s="23">
        <f>M8/$N$2</f>
        <v>10.069444444444445</v>
      </c>
      <c r="O8" s="23">
        <f>N8/$C$2</f>
        <v>1.1188271604938271</v>
      </c>
      <c r="P8" s="24">
        <v>42</v>
      </c>
      <c r="Q8" s="25">
        <f>C8*P8/3600</f>
        <v>11.666666666666666</v>
      </c>
      <c r="R8" s="26" t="s">
        <v>13</v>
      </c>
      <c r="S8" s="26" t="s">
        <v>13</v>
      </c>
      <c r="T8" s="27">
        <f>E8+I8+M8+Q8</f>
        <v>147.5</v>
      </c>
    </row>
    <row r="9" spans="1:20" ht="33" customHeight="1" x14ac:dyDescent="0.25">
      <c r="B9" s="2" t="s">
        <v>23</v>
      </c>
      <c r="C9" s="3">
        <v>800</v>
      </c>
      <c r="D9" s="26" t="s">
        <v>13</v>
      </c>
      <c r="E9" s="26" t="s">
        <v>13</v>
      </c>
      <c r="F9" s="26" t="s">
        <v>13</v>
      </c>
      <c r="G9" s="26" t="s">
        <v>13</v>
      </c>
      <c r="H9" s="20">
        <v>125</v>
      </c>
      <c r="I9" s="21">
        <f>C9*H9/3600</f>
        <v>27.777777777777779</v>
      </c>
      <c r="J9" s="21">
        <f>I9/$J$2</f>
        <v>4.6296296296296298</v>
      </c>
      <c r="K9" s="21">
        <f>J9/$C$2</f>
        <v>0.51440329218106995</v>
      </c>
      <c r="L9" s="22">
        <v>144</v>
      </c>
      <c r="M9" s="23">
        <f>C9*L9/3600</f>
        <v>32</v>
      </c>
      <c r="N9" s="23">
        <f>M9/$N$2</f>
        <v>4</v>
      </c>
      <c r="O9" s="23">
        <f>N9/$C$2</f>
        <v>0.44444444444444442</v>
      </c>
      <c r="P9" s="26" t="s">
        <v>13</v>
      </c>
      <c r="Q9" s="26" t="s">
        <v>13</v>
      </c>
      <c r="R9" s="26" t="s">
        <v>13</v>
      </c>
      <c r="S9" s="26" t="s">
        <v>13</v>
      </c>
      <c r="T9" s="27">
        <f>I9+M9</f>
        <v>59.777777777777779</v>
      </c>
    </row>
    <row r="10" spans="1:20" x14ac:dyDescent="0.25">
      <c r="A10" s="1"/>
      <c r="B10" s="1" t="s">
        <v>29</v>
      </c>
      <c r="C10" s="8">
        <f>SUM(C6:C9)</f>
        <v>4400</v>
      </c>
      <c r="D10" s="1"/>
      <c r="E10" s="31">
        <f>SUM(E6:E9)</f>
        <v>51.222222222222221</v>
      </c>
      <c r="F10" s="31">
        <f>SUM(F6:F9)</f>
        <v>12.805555555555555</v>
      </c>
      <c r="G10" s="31">
        <f>SUM(G6:G9)</f>
        <v>1.4228395061728394</v>
      </c>
      <c r="H10" s="1"/>
      <c r="I10" s="31">
        <f>SUM(I6:I9)</f>
        <v>182.77777777777777</v>
      </c>
      <c r="J10" s="31">
        <f>SUM(J6:J9)</f>
        <v>30.462962962962965</v>
      </c>
      <c r="K10" s="31">
        <f>SUM(K6:K9)</f>
        <v>3.3847736625514404</v>
      </c>
      <c r="L10" s="1"/>
      <c r="M10" s="31">
        <f>SUM(M6:M9)</f>
        <v>177.55555555555554</v>
      </c>
      <c r="N10" s="31">
        <f>SUM(N6:N9)</f>
        <v>22.194444444444443</v>
      </c>
      <c r="O10" s="31">
        <f>SUM(O6:O9)</f>
        <v>2.466049382716049</v>
      </c>
      <c r="P10" s="1"/>
      <c r="Q10" s="31">
        <f>SUM(Q6:Q9)</f>
        <v>37.666666666666664</v>
      </c>
      <c r="R10" s="1"/>
      <c r="S10" s="31">
        <f>SUM(S6:S9)</f>
        <v>0</v>
      </c>
      <c r="T10" s="31">
        <f>SUM(T6:T9)</f>
        <v>449.22222222222223</v>
      </c>
    </row>
  </sheetData>
  <mergeCells count="6">
    <mergeCell ref="A1:T1"/>
    <mergeCell ref="P3:Q3"/>
    <mergeCell ref="D3:G3"/>
    <mergeCell ref="H3:K3"/>
    <mergeCell ref="L3:O3"/>
    <mergeCell ref="R3:S3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1"/>
  <sheetViews>
    <sheetView tabSelected="1" workbookViewId="0">
      <pane ySplit="5" topLeftCell="A6" activePane="bottomLeft" state="frozen"/>
      <selection pane="bottomLeft" sqref="A1:T1"/>
    </sheetView>
  </sheetViews>
  <sheetFormatPr baseColWidth="10" defaultColWidth="9.140625" defaultRowHeight="15" x14ac:dyDescent="0.25"/>
  <cols>
    <col min="1" max="1" width="9" customWidth="1"/>
    <col min="2" max="2" width="22" customWidth="1"/>
    <col min="3" max="20" width="11" customWidth="1"/>
  </cols>
  <sheetData>
    <row r="1" spans="1:20" ht="18.75" x14ac:dyDescent="0.3">
      <c r="A1" s="79" t="s">
        <v>51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 ht="15.75" x14ac:dyDescent="0.25">
      <c r="B2" s="9" t="s">
        <v>41</v>
      </c>
      <c r="C2" s="10">
        <v>9</v>
      </c>
      <c r="D2" s="11" t="s">
        <v>42</v>
      </c>
      <c r="F2" s="10">
        <v>4</v>
      </c>
      <c r="H2" s="11" t="s">
        <v>42</v>
      </c>
      <c r="J2" s="10">
        <v>6</v>
      </c>
      <c r="L2" s="11" t="s">
        <v>42</v>
      </c>
      <c r="N2" s="10">
        <v>8</v>
      </c>
    </row>
    <row r="3" spans="1:20" x14ac:dyDescent="0.25">
      <c r="A3" s="1"/>
      <c r="B3" s="1" t="s">
        <v>3</v>
      </c>
      <c r="C3" s="1" t="s">
        <v>49</v>
      </c>
      <c r="D3" s="82" t="s">
        <v>5</v>
      </c>
      <c r="E3" s="84"/>
      <c r="F3" s="84"/>
      <c r="G3" s="83"/>
      <c r="H3" s="82" t="s">
        <v>6</v>
      </c>
      <c r="I3" s="84"/>
      <c r="J3" s="84"/>
      <c r="K3" s="83"/>
      <c r="L3" s="82" t="s">
        <v>7</v>
      </c>
      <c r="M3" s="84"/>
      <c r="N3" s="84"/>
      <c r="O3" s="83"/>
      <c r="P3" s="82" t="s">
        <v>8</v>
      </c>
      <c r="Q3" s="83"/>
      <c r="R3" s="82" t="s">
        <v>10</v>
      </c>
      <c r="S3" s="83"/>
      <c r="T3" s="1" t="s">
        <v>29</v>
      </c>
    </row>
    <row r="4" spans="1:20" x14ac:dyDescent="0.25">
      <c r="A4" s="1"/>
      <c r="B4" s="1"/>
      <c r="C4" s="1"/>
      <c r="D4" s="1" t="s">
        <v>43</v>
      </c>
      <c r="E4" s="1" t="s">
        <v>44</v>
      </c>
      <c r="F4" s="1" t="s">
        <v>45</v>
      </c>
      <c r="G4" s="1" t="s">
        <v>46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43</v>
      </c>
      <c r="Q4" s="1" t="s">
        <v>44</v>
      </c>
      <c r="R4" s="1" t="s">
        <v>43</v>
      </c>
      <c r="S4" s="1" t="s">
        <v>44</v>
      </c>
      <c r="T4" s="1" t="s">
        <v>47</v>
      </c>
    </row>
    <row r="5" spans="1:20" x14ac:dyDescent="0.25">
      <c r="A5" s="12"/>
      <c r="B5" s="12"/>
      <c r="C5" s="12"/>
      <c r="D5" s="13"/>
      <c r="E5" s="13"/>
      <c r="F5" s="13"/>
      <c r="G5" s="13"/>
      <c r="H5" s="14"/>
      <c r="I5" s="14"/>
      <c r="J5" s="14"/>
      <c r="K5" s="14"/>
      <c r="L5" s="15"/>
      <c r="M5" s="15"/>
      <c r="N5" s="15"/>
      <c r="O5" s="15"/>
      <c r="P5" s="16"/>
      <c r="Q5" s="16"/>
      <c r="R5" s="17"/>
      <c r="S5" s="17"/>
      <c r="T5" s="12"/>
    </row>
    <row r="6" spans="1:20" ht="33" customHeight="1" x14ac:dyDescent="0.25">
      <c r="B6" s="2" t="s">
        <v>12</v>
      </c>
      <c r="C6" s="3">
        <v>1300</v>
      </c>
      <c r="D6" s="18">
        <v>108</v>
      </c>
      <c r="E6" s="19">
        <f>C6*D6/3600</f>
        <v>39</v>
      </c>
      <c r="F6" s="19">
        <f>E6/$F$2</f>
        <v>9.75</v>
      </c>
      <c r="G6" s="19">
        <f>F6/$C$2</f>
        <v>1.0833333333333333</v>
      </c>
      <c r="H6" s="20">
        <v>263</v>
      </c>
      <c r="I6" s="21">
        <f>C6*H6/3600</f>
        <v>94.972222222222229</v>
      </c>
      <c r="J6" s="21">
        <f>I6/$J$2</f>
        <v>15.828703703703704</v>
      </c>
      <c r="K6" s="21">
        <f>J6/$C$2</f>
        <v>1.7587448559670782</v>
      </c>
      <c r="L6" s="22">
        <v>72</v>
      </c>
      <c r="M6" s="23">
        <f>C6*L6/3600</f>
        <v>26</v>
      </c>
      <c r="N6" s="23">
        <f>M6/$N$2</f>
        <v>3.25</v>
      </c>
      <c r="O6" s="23">
        <f>N6/$C$2</f>
        <v>0.3611111111111111</v>
      </c>
      <c r="P6" s="24">
        <v>36</v>
      </c>
      <c r="Q6" s="25">
        <f>C6*P6/3600</f>
        <v>13</v>
      </c>
      <c r="R6" s="26" t="s">
        <v>13</v>
      </c>
      <c r="S6" s="26" t="s">
        <v>13</v>
      </c>
      <c r="T6" s="27">
        <f>E6+I6+M6+Q6</f>
        <v>172.97222222222223</v>
      </c>
    </row>
    <row r="7" spans="1:20" ht="33" customHeight="1" x14ac:dyDescent="0.25">
      <c r="B7" s="2" t="s">
        <v>16</v>
      </c>
      <c r="C7" s="3">
        <v>1100</v>
      </c>
      <c r="D7" s="26" t="s">
        <v>13</v>
      </c>
      <c r="E7" s="26" t="s">
        <v>13</v>
      </c>
      <c r="F7" s="26" t="s">
        <v>13</v>
      </c>
      <c r="G7" s="26" t="s">
        <v>13</v>
      </c>
      <c r="H7" s="26" t="s">
        <v>13</v>
      </c>
      <c r="I7" s="26" t="s">
        <v>13</v>
      </c>
      <c r="J7" s="26" t="s">
        <v>13</v>
      </c>
      <c r="K7" s="26" t="s">
        <v>13</v>
      </c>
      <c r="L7" s="22">
        <v>108</v>
      </c>
      <c r="M7" s="23">
        <f>C7*L7/3600</f>
        <v>33</v>
      </c>
      <c r="N7" s="23">
        <f>M7/$N$2</f>
        <v>4.125</v>
      </c>
      <c r="O7" s="23">
        <f>N7/$C$2</f>
        <v>0.45833333333333331</v>
      </c>
      <c r="P7" s="26" t="s">
        <v>13</v>
      </c>
      <c r="Q7" s="26" t="s">
        <v>13</v>
      </c>
      <c r="R7" s="28">
        <v>468</v>
      </c>
      <c r="S7" s="29">
        <f>C7*R7/3600</f>
        <v>143</v>
      </c>
      <c r="T7" s="27">
        <f>M7+S7</f>
        <v>176</v>
      </c>
    </row>
    <row r="8" spans="1:20" ht="33" customHeight="1" x14ac:dyDescent="0.25">
      <c r="B8" s="2" t="s">
        <v>19</v>
      </c>
      <c r="C8" s="3">
        <v>1000</v>
      </c>
      <c r="D8" s="18">
        <v>44</v>
      </c>
      <c r="E8" s="19">
        <f>C8*D8/3600</f>
        <v>12.222222222222221</v>
      </c>
      <c r="F8" s="19">
        <f>E8/$F$2</f>
        <v>3.0555555555555554</v>
      </c>
      <c r="G8" s="19">
        <f>F8/$C$2</f>
        <v>0.33950617283950613</v>
      </c>
      <c r="H8" s="20">
        <v>155</v>
      </c>
      <c r="I8" s="21">
        <f>C8*H8/3600</f>
        <v>43.055555555555557</v>
      </c>
      <c r="J8" s="21">
        <f>I8/$J$2</f>
        <v>7.1759259259259265</v>
      </c>
      <c r="K8" s="21">
        <f>J8/$C$2</f>
        <v>0.7973251028806585</v>
      </c>
      <c r="L8" s="22">
        <v>290</v>
      </c>
      <c r="M8" s="23">
        <f>C8*L8/3600</f>
        <v>80.555555555555557</v>
      </c>
      <c r="N8" s="23">
        <f>M8/$N$2</f>
        <v>10.069444444444445</v>
      </c>
      <c r="O8" s="23">
        <f>N8/$C$2</f>
        <v>1.1188271604938271</v>
      </c>
      <c r="P8" s="24">
        <v>42</v>
      </c>
      <c r="Q8" s="25">
        <f>C8*P8/3600</f>
        <v>11.666666666666666</v>
      </c>
      <c r="R8" s="26" t="s">
        <v>13</v>
      </c>
      <c r="S8" s="26" t="s">
        <v>13</v>
      </c>
      <c r="T8" s="27">
        <f>E8+I8+M8+Q8</f>
        <v>147.5</v>
      </c>
    </row>
    <row r="9" spans="1:20" ht="33" customHeight="1" x14ac:dyDescent="0.25">
      <c r="B9" s="2" t="s">
        <v>23</v>
      </c>
      <c r="C9" s="3">
        <v>800</v>
      </c>
      <c r="D9" s="26" t="s">
        <v>13</v>
      </c>
      <c r="E9" s="26" t="s">
        <v>13</v>
      </c>
      <c r="F9" s="26" t="s">
        <v>13</v>
      </c>
      <c r="G9" s="26" t="s">
        <v>13</v>
      </c>
      <c r="H9" s="20">
        <v>125</v>
      </c>
      <c r="I9" s="21">
        <f>C9*H9/3600</f>
        <v>27.777777777777779</v>
      </c>
      <c r="J9" s="21">
        <f>I9/$J$2</f>
        <v>4.6296296296296298</v>
      </c>
      <c r="K9" s="21">
        <f>J9/$C$2</f>
        <v>0.51440329218106995</v>
      </c>
      <c r="L9" s="22">
        <v>144</v>
      </c>
      <c r="M9" s="23">
        <f>C9*L9/3600</f>
        <v>32</v>
      </c>
      <c r="N9" s="23">
        <f>M9/$N$2</f>
        <v>4</v>
      </c>
      <c r="O9" s="23">
        <f>N9/$C$2</f>
        <v>0.44444444444444442</v>
      </c>
      <c r="P9" s="26" t="s">
        <v>13</v>
      </c>
      <c r="Q9" s="26" t="s">
        <v>13</v>
      </c>
      <c r="R9" s="26" t="s">
        <v>13</v>
      </c>
      <c r="S9" s="26" t="s">
        <v>13</v>
      </c>
      <c r="T9" s="27">
        <f>I9+M9</f>
        <v>59.777777777777779</v>
      </c>
    </row>
    <row r="10" spans="1:20" x14ac:dyDescent="0.25">
      <c r="B10" s="5" t="s">
        <v>27</v>
      </c>
      <c r="C10" s="6">
        <v>600</v>
      </c>
      <c r="D10" s="85" t="s">
        <v>25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3"/>
      <c r="T10" s="30" t="s">
        <v>13</v>
      </c>
    </row>
    <row r="11" spans="1:20" x14ac:dyDescent="0.25">
      <c r="A11" s="1"/>
      <c r="B11" s="1" t="s">
        <v>29</v>
      </c>
      <c r="C11" s="8">
        <f>SUM(C6:C10)</f>
        <v>4800</v>
      </c>
      <c r="D11" s="1"/>
      <c r="E11" s="31">
        <f>SUM(E6:E10)</f>
        <v>51.222222222222221</v>
      </c>
      <c r="F11" s="31">
        <f>SUM(F6:F10)</f>
        <v>12.805555555555555</v>
      </c>
      <c r="G11" s="31">
        <f>SUM(G6:G10)</f>
        <v>1.4228395061728394</v>
      </c>
      <c r="H11" s="1"/>
      <c r="I11" s="31">
        <f>SUM(I6:I10)</f>
        <v>165.80555555555554</v>
      </c>
      <c r="J11" s="31">
        <f>SUM(J6:J10)</f>
        <v>27.63425925925926</v>
      </c>
      <c r="K11" s="31">
        <f>SUM(K6:K10)</f>
        <v>3.0704732510288064</v>
      </c>
      <c r="L11" s="1"/>
      <c r="M11" s="31">
        <f>SUM(M6:M10)</f>
        <v>171.55555555555554</v>
      </c>
      <c r="N11" s="31">
        <f>SUM(N6:N10)</f>
        <v>21.444444444444443</v>
      </c>
      <c r="O11" s="31">
        <f>SUM(O6:O10)</f>
        <v>2.382716049382716</v>
      </c>
      <c r="P11" s="1"/>
      <c r="Q11" s="31">
        <f>SUM(Q6:Q10)</f>
        <v>24.666666666666664</v>
      </c>
      <c r="R11" s="1"/>
      <c r="S11" s="31">
        <f>SUM(S6:S10)</f>
        <v>143</v>
      </c>
      <c r="T11" s="31">
        <f>SUM(T6:T10)</f>
        <v>556.25</v>
      </c>
    </row>
  </sheetData>
  <mergeCells count="7">
    <mergeCell ref="A1:T1"/>
    <mergeCell ref="D10:S10"/>
    <mergeCell ref="P3:Q3"/>
    <mergeCell ref="D3:G3"/>
    <mergeCell ref="H3:K3"/>
    <mergeCell ref="L3:O3"/>
    <mergeCell ref="R3:S3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2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9" customWidth="1"/>
    <col min="2" max="2" width="22" customWidth="1"/>
    <col min="3" max="20" width="11" customWidth="1"/>
  </cols>
  <sheetData>
    <row r="1" spans="1:20" ht="18.75" x14ac:dyDescent="0.3">
      <c r="A1" s="79" t="s">
        <v>52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 ht="15.75" x14ac:dyDescent="0.25">
      <c r="B2" s="9" t="s">
        <v>41</v>
      </c>
      <c r="C2" s="10">
        <v>9</v>
      </c>
      <c r="D2" s="11" t="s">
        <v>42</v>
      </c>
      <c r="F2" s="10">
        <v>4</v>
      </c>
      <c r="H2" s="11" t="s">
        <v>42</v>
      </c>
      <c r="J2" s="10">
        <v>6</v>
      </c>
      <c r="L2" s="11" t="s">
        <v>42</v>
      </c>
      <c r="N2" s="10">
        <v>8</v>
      </c>
    </row>
    <row r="3" spans="1:20" x14ac:dyDescent="0.25">
      <c r="A3" s="1"/>
      <c r="B3" s="1" t="s">
        <v>3</v>
      </c>
      <c r="C3" s="1" t="s">
        <v>49</v>
      </c>
      <c r="D3" s="82" t="s">
        <v>5</v>
      </c>
      <c r="E3" s="84"/>
      <c r="F3" s="84"/>
      <c r="G3" s="83"/>
      <c r="H3" s="82" t="s">
        <v>6</v>
      </c>
      <c r="I3" s="84"/>
      <c r="J3" s="84"/>
      <c r="K3" s="83"/>
      <c r="L3" s="82" t="s">
        <v>7</v>
      </c>
      <c r="M3" s="84"/>
      <c r="N3" s="84"/>
      <c r="O3" s="83"/>
      <c r="P3" s="82" t="s">
        <v>8</v>
      </c>
      <c r="Q3" s="83"/>
      <c r="R3" s="82" t="s">
        <v>10</v>
      </c>
      <c r="S3" s="83"/>
      <c r="T3" s="1" t="s">
        <v>29</v>
      </c>
    </row>
    <row r="4" spans="1:20" x14ac:dyDescent="0.25">
      <c r="A4" s="1"/>
      <c r="B4" s="1"/>
      <c r="C4" s="1"/>
      <c r="D4" s="1" t="s">
        <v>43</v>
      </c>
      <c r="E4" s="1" t="s">
        <v>44</v>
      </c>
      <c r="F4" s="1" t="s">
        <v>45</v>
      </c>
      <c r="G4" s="1" t="s">
        <v>46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43</v>
      </c>
      <c r="Q4" s="1" t="s">
        <v>44</v>
      </c>
      <c r="R4" s="1" t="s">
        <v>43</v>
      </c>
      <c r="S4" s="1" t="s">
        <v>44</v>
      </c>
      <c r="T4" s="1" t="s">
        <v>47</v>
      </c>
    </row>
    <row r="5" spans="1:20" x14ac:dyDescent="0.25">
      <c r="A5" s="12"/>
      <c r="B5" s="12"/>
      <c r="C5" s="12"/>
      <c r="D5" s="13"/>
      <c r="E5" s="13"/>
      <c r="F5" s="13"/>
      <c r="G5" s="13"/>
      <c r="H5" s="14"/>
      <c r="I5" s="14"/>
      <c r="J5" s="14"/>
      <c r="K5" s="14"/>
      <c r="L5" s="15"/>
      <c r="M5" s="15"/>
      <c r="N5" s="15"/>
      <c r="O5" s="15"/>
      <c r="P5" s="16"/>
      <c r="Q5" s="16"/>
      <c r="R5" s="17"/>
      <c r="S5" s="17"/>
      <c r="T5" s="12"/>
    </row>
    <row r="6" spans="1:20" ht="33" customHeight="1" x14ac:dyDescent="0.25">
      <c r="B6" s="2" t="s">
        <v>16</v>
      </c>
      <c r="C6" s="3">
        <v>1100</v>
      </c>
      <c r="D6" s="26" t="s">
        <v>13</v>
      </c>
      <c r="E6" s="26" t="s">
        <v>13</v>
      </c>
      <c r="F6" s="26" t="s">
        <v>13</v>
      </c>
      <c r="G6" s="26" t="s">
        <v>13</v>
      </c>
      <c r="H6" s="26" t="s">
        <v>13</v>
      </c>
      <c r="I6" s="26" t="s">
        <v>13</v>
      </c>
      <c r="J6" s="26" t="s">
        <v>13</v>
      </c>
      <c r="K6" s="26" t="s">
        <v>13</v>
      </c>
      <c r="L6" s="22">
        <v>108</v>
      </c>
      <c r="M6" s="23">
        <f>C6*L6/3600</f>
        <v>33</v>
      </c>
      <c r="N6" s="23">
        <f>M6/$N$2</f>
        <v>4.125</v>
      </c>
      <c r="O6" s="23">
        <f>N6/$C$2</f>
        <v>0.45833333333333331</v>
      </c>
      <c r="P6" s="26" t="s">
        <v>13</v>
      </c>
      <c r="Q6" s="26" t="s">
        <v>13</v>
      </c>
      <c r="R6" s="28">
        <v>468</v>
      </c>
      <c r="S6" s="29">
        <f>C6*R6/3600</f>
        <v>143</v>
      </c>
      <c r="T6" s="27">
        <f>M6+S6</f>
        <v>176</v>
      </c>
    </row>
    <row r="7" spans="1:20" ht="33" customHeight="1" x14ac:dyDescent="0.25">
      <c r="B7" s="2" t="s">
        <v>20</v>
      </c>
      <c r="C7" s="3">
        <v>900</v>
      </c>
      <c r="D7" s="18">
        <v>144</v>
      </c>
      <c r="E7" s="19">
        <f>C7*D7/3600</f>
        <v>36</v>
      </c>
      <c r="F7" s="19">
        <f>E7/$F$2</f>
        <v>9</v>
      </c>
      <c r="G7" s="19">
        <f>F7/$C$2</f>
        <v>1</v>
      </c>
      <c r="H7" s="20">
        <v>145</v>
      </c>
      <c r="I7" s="21">
        <f>C7*H7/3600</f>
        <v>36.25</v>
      </c>
      <c r="J7" s="21">
        <f>I7/$J$2</f>
        <v>6.041666666666667</v>
      </c>
      <c r="K7" s="21">
        <f>J7/$C$2</f>
        <v>0.67129629629629628</v>
      </c>
      <c r="L7" s="22">
        <v>108</v>
      </c>
      <c r="M7" s="23">
        <f>C7*L7/3600</f>
        <v>27</v>
      </c>
      <c r="N7" s="23">
        <f>M7/$N$2</f>
        <v>3.375</v>
      </c>
      <c r="O7" s="23">
        <f>N7/$C$2</f>
        <v>0.375</v>
      </c>
      <c r="P7" s="24">
        <v>36</v>
      </c>
      <c r="Q7" s="25">
        <f>C7*P7/3600</f>
        <v>9</v>
      </c>
      <c r="R7" s="26" t="s">
        <v>13</v>
      </c>
      <c r="S7" s="26" t="s">
        <v>13</v>
      </c>
      <c r="T7" s="27">
        <f>E7+I7+M7+Q7</f>
        <v>108.25</v>
      </c>
    </row>
    <row r="8" spans="1:20" ht="33" customHeight="1" x14ac:dyDescent="0.25">
      <c r="B8" s="2" t="s">
        <v>21</v>
      </c>
      <c r="C8" s="3">
        <v>900</v>
      </c>
      <c r="D8" s="18">
        <v>134</v>
      </c>
      <c r="E8" s="19">
        <f>C8*D8/3600</f>
        <v>33.5</v>
      </c>
      <c r="F8" s="19">
        <f>E8/$F$2</f>
        <v>8.375</v>
      </c>
      <c r="G8" s="19">
        <f>F8/$C$2</f>
        <v>0.93055555555555558</v>
      </c>
      <c r="H8" s="20">
        <v>141</v>
      </c>
      <c r="I8" s="21">
        <f>C8*H8/3600</f>
        <v>35.25</v>
      </c>
      <c r="J8" s="21">
        <f>I8/$J$2</f>
        <v>5.875</v>
      </c>
      <c r="K8" s="21">
        <f>J8/$C$2</f>
        <v>0.65277777777777779</v>
      </c>
      <c r="L8" s="22">
        <v>658</v>
      </c>
      <c r="M8" s="23">
        <f>C8*L8/3600</f>
        <v>164.5</v>
      </c>
      <c r="N8" s="23">
        <f>M8/$N$2</f>
        <v>20.5625</v>
      </c>
      <c r="O8" s="23">
        <f>N8/$C$2</f>
        <v>2.2847222222222223</v>
      </c>
      <c r="P8" s="26" t="s">
        <v>13</v>
      </c>
      <c r="Q8" s="26" t="s">
        <v>13</v>
      </c>
      <c r="R8" s="26" t="s">
        <v>13</v>
      </c>
      <c r="S8" s="26" t="s">
        <v>13</v>
      </c>
      <c r="T8" s="27">
        <f>E8+I8+M8</f>
        <v>233.25</v>
      </c>
    </row>
    <row r="9" spans="1:20" x14ac:dyDescent="0.25">
      <c r="B9" s="5" t="s">
        <v>24</v>
      </c>
      <c r="C9" s="6">
        <v>500</v>
      </c>
      <c r="D9" s="85" t="s">
        <v>25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3"/>
      <c r="T9" s="30" t="s">
        <v>13</v>
      </c>
    </row>
    <row r="10" spans="1:20" x14ac:dyDescent="0.25">
      <c r="B10" s="5" t="s">
        <v>26</v>
      </c>
      <c r="C10" s="6">
        <v>600</v>
      </c>
      <c r="D10" s="85" t="s">
        <v>25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3"/>
      <c r="T10" s="30" t="s">
        <v>13</v>
      </c>
    </row>
    <row r="11" spans="1:20" x14ac:dyDescent="0.25">
      <c r="B11" s="5" t="s">
        <v>27</v>
      </c>
      <c r="C11" s="6">
        <v>600</v>
      </c>
      <c r="D11" s="85" t="s">
        <v>25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3"/>
      <c r="T11" s="30" t="s">
        <v>13</v>
      </c>
    </row>
    <row r="12" spans="1:20" x14ac:dyDescent="0.25">
      <c r="A12" s="1"/>
      <c r="B12" s="1" t="s">
        <v>29</v>
      </c>
      <c r="C12" s="8">
        <f>SUM(C6:C11)</f>
        <v>4600</v>
      </c>
      <c r="D12" s="1"/>
      <c r="E12" s="31">
        <f>SUM(E6:E11)</f>
        <v>69.5</v>
      </c>
      <c r="F12" s="31">
        <f>SUM(F6:F11)</f>
        <v>17.375</v>
      </c>
      <c r="G12" s="31">
        <f>SUM(G6:G11)</f>
        <v>1.9305555555555556</v>
      </c>
      <c r="H12" s="1"/>
      <c r="I12" s="31">
        <f>SUM(I6:I11)</f>
        <v>71.5</v>
      </c>
      <c r="J12" s="31">
        <f>SUM(J6:J11)</f>
        <v>11.916666666666668</v>
      </c>
      <c r="K12" s="31">
        <f>SUM(K6:K11)</f>
        <v>1.324074074074074</v>
      </c>
      <c r="L12" s="1"/>
      <c r="M12" s="31">
        <f>SUM(M6:M11)</f>
        <v>224.5</v>
      </c>
      <c r="N12" s="31">
        <f>SUM(N6:N11)</f>
        <v>28.0625</v>
      </c>
      <c r="O12" s="31">
        <f>SUM(O6:O11)</f>
        <v>3.1180555555555554</v>
      </c>
      <c r="P12" s="1"/>
      <c r="Q12" s="31">
        <f>SUM(Q6:Q11)</f>
        <v>9</v>
      </c>
      <c r="R12" s="1"/>
      <c r="S12" s="31">
        <f>SUM(S6:S11)</f>
        <v>143</v>
      </c>
      <c r="T12" s="31">
        <f>SUM(T6:T11)</f>
        <v>517.5</v>
      </c>
    </row>
  </sheetData>
  <mergeCells count="9">
    <mergeCell ref="D11:S11"/>
    <mergeCell ref="A1:T1"/>
    <mergeCell ref="D10:S10"/>
    <mergeCell ref="P3:Q3"/>
    <mergeCell ref="D3:G3"/>
    <mergeCell ref="H3:K3"/>
    <mergeCell ref="L3:O3"/>
    <mergeCell ref="D9:S9"/>
    <mergeCell ref="R3:S3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9" customWidth="1"/>
    <col min="2" max="2" width="22" customWidth="1"/>
    <col min="3" max="20" width="11" customWidth="1"/>
  </cols>
  <sheetData>
    <row r="1" spans="1:20" ht="18.75" x14ac:dyDescent="0.3">
      <c r="A1" s="79" t="s">
        <v>53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 ht="15.75" x14ac:dyDescent="0.25">
      <c r="B2" s="9" t="s">
        <v>41</v>
      </c>
      <c r="C2" s="10">
        <v>9</v>
      </c>
      <c r="D2" s="11" t="s">
        <v>42</v>
      </c>
      <c r="F2" s="10">
        <v>4</v>
      </c>
      <c r="H2" s="11" t="s">
        <v>42</v>
      </c>
      <c r="J2" s="10">
        <v>6</v>
      </c>
      <c r="L2" s="11" t="s">
        <v>42</v>
      </c>
      <c r="N2" s="10">
        <v>8</v>
      </c>
    </row>
    <row r="3" spans="1:20" x14ac:dyDescent="0.25">
      <c r="A3" s="1"/>
      <c r="B3" s="1" t="s">
        <v>3</v>
      </c>
      <c r="C3" s="1" t="s">
        <v>49</v>
      </c>
      <c r="D3" s="82" t="s">
        <v>5</v>
      </c>
      <c r="E3" s="84"/>
      <c r="F3" s="84"/>
      <c r="G3" s="83"/>
      <c r="H3" s="82" t="s">
        <v>6</v>
      </c>
      <c r="I3" s="84"/>
      <c r="J3" s="84"/>
      <c r="K3" s="83"/>
      <c r="L3" s="82" t="s">
        <v>7</v>
      </c>
      <c r="M3" s="84"/>
      <c r="N3" s="84"/>
      <c r="O3" s="83"/>
      <c r="P3" s="82" t="s">
        <v>8</v>
      </c>
      <c r="Q3" s="83"/>
      <c r="R3" s="82" t="s">
        <v>10</v>
      </c>
      <c r="S3" s="83"/>
      <c r="T3" s="1" t="s">
        <v>29</v>
      </c>
    </row>
    <row r="4" spans="1:20" x14ac:dyDescent="0.25">
      <c r="A4" s="1"/>
      <c r="B4" s="1"/>
      <c r="C4" s="1"/>
      <c r="D4" s="1" t="s">
        <v>43</v>
      </c>
      <c r="E4" s="1" t="s">
        <v>44</v>
      </c>
      <c r="F4" s="1" t="s">
        <v>45</v>
      </c>
      <c r="G4" s="1" t="s">
        <v>46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43</v>
      </c>
      <c r="Q4" s="1" t="s">
        <v>44</v>
      </c>
      <c r="R4" s="1" t="s">
        <v>43</v>
      </c>
      <c r="S4" s="1" t="s">
        <v>44</v>
      </c>
      <c r="T4" s="1" t="s">
        <v>47</v>
      </c>
    </row>
    <row r="5" spans="1:20" x14ac:dyDescent="0.25">
      <c r="A5" s="12"/>
      <c r="B5" s="12"/>
      <c r="C5" s="12"/>
      <c r="D5" s="13"/>
      <c r="E5" s="13"/>
      <c r="F5" s="13"/>
      <c r="G5" s="13"/>
      <c r="H5" s="14"/>
      <c r="I5" s="14"/>
      <c r="J5" s="14"/>
      <c r="K5" s="14"/>
      <c r="L5" s="15"/>
      <c r="M5" s="15"/>
      <c r="N5" s="15"/>
      <c r="O5" s="15"/>
      <c r="P5" s="16"/>
      <c r="Q5" s="16"/>
      <c r="R5" s="17"/>
      <c r="S5" s="17"/>
      <c r="T5" s="12"/>
    </row>
    <row r="6" spans="1:20" ht="33" customHeight="1" x14ac:dyDescent="0.25">
      <c r="B6" s="2" t="s">
        <v>16</v>
      </c>
      <c r="C6" s="3">
        <v>1300</v>
      </c>
      <c r="D6" s="26" t="s">
        <v>13</v>
      </c>
      <c r="E6" s="26" t="s">
        <v>13</v>
      </c>
      <c r="F6" s="26" t="s">
        <v>13</v>
      </c>
      <c r="G6" s="26" t="s">
        <v>13</v>
      </c>
      <c r="H6" s="26" t="s">
        <v>13</v>
      </c>
      <c r="I6" s="26" t="s">
        <v>13</v>
      </c>
      <c r="J6" s="26" t="s">
        <v>13</v>
      </c>
      <c r="K6" s="26" t="s">
        <v>13</v>
      </c>
      <c r="L6" s="22">
        <v>108</v>
      </c>
      <c r="M6" s="23">
        <f>C6*L6/3600</f>
        <v>39</v>
      </c>
      <c r="N6" s="23">
        <f>M6/$N$2</f>
        <v>4.875</v>
      </c>
      <c r="O6" s="23">
        <f>N6/$C$2</f>
        <v>0.54166666666666663</v>
      </c>
      <c r="P6" s="26" t="s">
        <v>13</v>
      </c>
      <c r="Q6" s="26" t="s">
        <v>13</v>
      </c>
      <c r="R6" s="28">
        <v>468</v>
      </c>
      <c r="S6" s="29">
        <f>C6*R6/3600</f>
        <v>169</v>
      </c>
      <c r="T6" s="27">
        <f>M6+S6</f>
        <v>208</v>
      </c>
    </row>
    <row r="7" spans="1:20" ht="33" customHeight="1" x14ac:dyDescent="0.25">
      <c r="B7" s="2" t="s">
        <v>20</v>
      </c>
      <c r="C7" s="3">
        <v>900</v>
      </c>
      <c r="D7" s="18">
        <v>144</v>
      </c>
      <c r="E7" s="19">
        <f>C7*D7/3600</f>
        <v>36</v>
      </c>
      <c r="F7" s="19">
        <f>E7/$F$2</f>
        <v>9</v>
      </c>
      <c r="G7" s="19">
        <f>F7/$C$2</f>
        <v>1</v>
      </c>
      <c r="H7" s="20">
        <v>145</v>
      </c>
      <c r="I7" s="21">
        <f>C7*H7/3600</f>
        <v>36.25</v>
      </c>
      <c r="J7" s="21">
        <f>I7/$J$2</f>
        <v>6.041666666666667</v>
      </c>
      <c r="K7" s="21">
        <f>J7/$C$2</f>
        <v>0.67129629629629628</v>
      </c>
      <c r="L7" s="22">
        <v>108</v>
      </c>
      <c r="M7" s="23">
        <f>C7*L7/3600</f>
        <v>27</v>
      </c>
      <c r="N7" s="23">
        <f>M7/$N$2</f>
        <v>3.375</v>
      </c>
      <c r="O7" s="23">
        <f>N7/$C$2</f>
        <v>0.375</v>
      </c>
      <c r="P7" s="24">
        <v>36</v>
      </c>
      <c r="Q7" s="25">
        <f>C7*P7/3600</f>
        <v>9</v>
      </c>
      <c r="R7" s="26" t="s">
        <v>13</v>
      </c>
      <c r="S7" s="26" t="s">
        <v>13</v>
      </c>
      <c r="T7" s="27">
        <f>E7+I7+M7+Q7</f>
        <v>108.25</v>
      </c>
    </row>
    <row r="8" spans="1:20" ht="33" customHeight="1" x14ac:dyDescent="0.25">
      <c r="B8" s="2" t="s">
        <v>21</v>
      </c>
      <c r="C8" s="3">
        <v>900</v>
      </c>
      <c r="D8" s="18">
        <v>134</v>
      </c>
      <c r="E8" s="19">
        <f>C8*D8/3600</f>
        <v>33.5</v>
      </c>
      <c r="F8" s="19">
        <f>E8/$F$2</f>
        <v>8.375</v>
      </c>
      <c r="G8" s="19">
        <f>F8/$C$2</f>
        <v>0.93055555555555558</v>
      </c>
      <c r="H8" s="20">
        <v>141</v>
      </c>
      <c r="I8" s="21">
        <f>C8*H8/3600</f>
        <v>35.25</v>
      </c>
      <c r="J8" s="21">
        <f>I8/$J$2</f>
        <v>5.875</v>
      </c>
      <c r="K8" s="21">
        <f>J8/$C$2</f>
        <v>0.65277777777777779</v>
      </c>
      <c r="L8" s="22">
        <v>658</v>
      </c>
      <c r="M8" s="23">
        <f>C8*L8/3600</f>
        <v>164.5</v>
      </c>
      <c r="N8" s="23">
        <f>M8/$N$2</f>
        <v>20.5625</v>
      </c>
      <c r="O8" s="23">
        <f>N8/$C$2</f>
        <v>2.2847222222222223</v>
      </c>
      <c r="P8" s="26" t="s">
        <v>13</v>
      </c>
      <c r="Q8" s="26" t="s">
        <v>13</v>
      </c>
      <c r="R8" s="26" t="s">
        <v>13</v>
      </c>
      <c r="S8" s="26" t="s">
        <v>13</v>
      </c>
      <c r="T8" s="27">
        <f>E8+I8+M8</f>
        <v>233.25</v>
      </c>
    </row>
    <row r="9" spans="1:20" x14ac:dyDescent="0.25">
      <c r="B9" s="5" t="s">
        <v>24</v>
      </c>
      <c r="C9" s="6">
        <v>500</v>
      </c>
      <c r="D9" s="85" t="s">
        <v>25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3"/>
      <c r="T9" s="30" t="s">
        <v>13</v>
      </c>
    </row>
    <row r="10" spans="1:20" x14ac:dyDescent="0.25">
      <c r="B10" s="5" t="s">
        <v>26</v>
      </c>
      <c r="C10" s="6">
        <v>600</v>
      </c>
      <c r="D10" s="85" t="s">
        <v>25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3"/>
      <c r="T10" s="30" t="s">
        <v>13</v>
      </c>
    </row>
    <row r="11" spans="1:20" x14ac:dyDescent="0.25">
      <c r="B11" s="5" t="s">
        <v>28</v>
      </c>
      <c r="C11" s="6">
        <v>600</v>
      </c>
      <c r="D11" s="85" t="s">
        <v>25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3"/>
      <c r="T11" s="30" t="s">
        <v>13</v>
      </c>
    </row>
    <row r="12" spans="1:20" x14ac:dyDescent="0.25">
      <c r="A12" s="1"/>
      <c r="B12" s="1" t="s">
        <v>29</v>
      </c>
      <c r="C12" s="8">
        <f>SUM(C6:C11)</f>
        <v>4800</v>
      </c>
      <c r="D12" s="1"/>
      <c r="E12" s="31">
        <f>SUM(E6:E11)</f>
        <v>69.5</v>
      </c>
      <c r="F12" s="31">
        <f>SUM(F6:F11)</f>
        <v>17.375</v>
      </c>
      <c r="G12" s="31">
        <f>SUM(G6:G11)</f>
        <v>1.9305555555555556</v>
      </c>
      <c r="H12" s="1"/>
      <c r="I12" s="31">
        <f>SUM(I6:I11)</f>
        <v>71.5</v>
      </c>
      <c r="J12" s="31">
        <f>SUM(J6:J11)</f>
        <v>11.916666666666668</v>
      </c>
      <c r="K12" s="31">
        <f>SUM(K6:K11)</f>
        <v>1.324074074074074</v>
      </c>
      <c r="L12" s="1"/>
      <c r="M12" s="31">
        <f>SUM(M6:M11)</f>
        <v>230.5</v>
      </c>
      <c r="N12" s="31">
        <f>SUM(N6:N11)</f>
        <v>28.8125</v>
      </c>
      <c r="O12" s="31">
        <f>SUM(O6:O11)</f>
        <v>3.2013888888888888</v>
      </c>
      <c r="P12" s="1"/>
      <c r="Q12" s="31">
        <f>SUM(Q6:Q11)</f>
        <v>9</v>
      </c>
      <c r="R12" s="1"/>
      <c r="S12" s="31">
        <f>SUM(S6:S11)</f>
        <v>169</v>
      </c>
      <c r="T12" s="31">
        <f>SUM(T6:T11)</f>
        <v>549.5</v>
      </c>
    </row>
  </sheetData>
  <mergeCells count="9">
    <mergeCell ref="D11:S11"/>
    <mergeCell ref="A1:T1"/>
    <mergeCell ref="D10:S10"/>
    <mergeCell ref="P3:Q3"/>
    <mergeCell ref="D3:G3"/>
    <mergeCell ref="H3:K3"/>
    <mergeCell ref="L3:O3"/>
    <mergeCell ref="D9:S9"/>
    <mergeCell ref="R3:S3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9" customWidth="1"/>
    <col min="2" max="2" width="22" customWidth="1"/>
    <col min="3" max="20" width="11" customWidth="1"/>
  </cols>
  <sheetData>
    <row r="1" spans="1:20" ht="18.75" x14ac:dyDescent="0.3">
      <c r="A1" s="79" t="s">
        <v>54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 ht="15.75" x14ac:dyDescent="0.25">
      <c r="B2" s="9" t="s">
        <v>41</v>
      </c>
      <c r="C2" s="10">
        <v>9</v>
      </c>
      <c r="D2" s="11" t="s">
        <v>42</v>
      </c>
      <c r="F2" s="10">
        <v>4</v>
      </c>
      <c r="H2" s="11" t="s">
        <v>42</v>
      </c>
      <c r="J2" s="10">
        <v>6</v>
      </c>
      <c r="L2" s="11" t="s">
        <v>42</v>
      </c>
      <c r="N2" s="10">
        <v>8</v>
      </c>
    </row>
    <row r="3" spans="1:20" x14ac:dyDescent="0.25">
      <c r="A3" s="1"/>
      <c r="B3" s="1" t="s">
        <v>3</v>
      </c>
      <c r="C3" s="1" t="s">
        <v>49</v>
      </c>
      <c r="D3" s="82" t="s">
        <v>5</v>
      </c>
      <c r="E3" s="84"/>
      <c r="F3" s="84"/>
      <c r="G3" s="83"/>
      <c r="H3" s="82" t="s">
        <v>6</v>
      </c>
      <c r="I3" s="84"/>
      <c r="J3" s="84"/>
      <c r="K3" s="83"/>
      <c r="L3" s="82" t="s">
        <v>7</v>
      </c>
      <c r="M3" s="84"/>
      <c r="N3" s="84"/>
      <c r="O3" s="83"/>
      <c r="P3" s="82" t="s">
        <v>8</v>
      </c>
      <c r="Q3" s="83"/>
      <c r="R3" s="82" t="s">
        <v>10</v>
      </c>
      <c r="S3" s="83"/>
      <c r="T3" s="1" t="s">
        <v>29</v>
      </c>
    </row>
    <row r="4" spans="1:20" x14ac:dyDescent="0.25">
      <c r="A4" s="1"/>
      <c r="B4" s="1"/>
      <c r="C4" s="1"/>
      <c r="D4" s="1" t="s">
        <v>43</v>
      </c>
      <c r="E4" s="1" t="s">
        <v>44</v>
      </c>
      <c r="F4" s="1" t="s">
        <v>45</v>
      </c>
      <c r="G4" s="1" t="s">
        <v>46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43</v>
      </c>
      <c r="Q4" s="1" t="s">
        <v>44</v>
      </c>
      <c r="R4" s="1" t="s">
        <v>43</v>
      </c>
      <c r="S4" s="1" t="s">
        <v>44</v>
      </c>
      <c r="T4" s="1" t="s">
        <v>47</v>
      </c>
    </row>
    <row r="5" spans="1:20" x14ac:dyDescent="0.25">
      <c r="A5" s="12"/>
      <c r="B5" s="12"/>
      <c r="C5" s="12"/>
      <c r="D5" s="13"/>
      <c r="E5" s="13"/>
      <c r="F5" s="13"/>
      <c r="G5" s="13"/>
      <c r="H5" s="14"/>
      <c r="I5" s="14"/>
      <c r="J5" s="14"/>
      <c r="K5" s="14"/>
      <c r="L5" s="15"/>
      <c r="M5" s="15"/>
      <c r="N5" s="15"/>
      <c r="O5" s="15"/>
      <c r="P5" s="16"/>
      <c r="Q5" s="16"/>
      <c r="R5" s="17"/>
      <c r="S5" s="17"/>
      <c r="T5" s="12"/>
    </row>
    <row r="6" spans="1:20" ht="33" customHeight="1" x14ac:dyDescent="0.25">
      <c r="B6" s="2" t="s">
        <v>14</v>
      </c>
      <c r="C6" s="3">
        <v>1300</v>
      </c>
      <c r="D6" s="26" t="s">
        <v>13</v>
      </c>
      <c r="E6" s="26" t="s">
        <v>13</v>
      </c>
      <c r="F6" s="26" t="s">
        <v>13</v>
      </c>
      <c r="G6" s="26" t="s">
        <v>13</v>
      </c>
      <c r="H6" s="20">
        <v>47</v>
      </c>
      <c r="I6" s="21">
        <f>C6*H6/3600</f>
        <v>16.972222222222221</v>
      </c>
      <c r="J6" s="21">
        <f>I6/$J$2</f>
        <v>2.8287037037037037</v>
      </c>
      <c r="K6" s="21">
        <f>J6/$C$2</f>
        <v>0.31430041152263377</v>
      </c>
      <c r="L6" s="22">
        <v>108</v>
      </c>
      <c r="M6" s="23">
        <f>C6*L6/3600</f>
        <v>39</v>
      </c>
      <c r="N6" s="23">
        <f>M6/$N$2</f>
        <v>4.875</v>
      </c>
      <c r="O6" s="23">
        <f>N6/$C$2</f>
        <v>0.54166666666666663</v>
      </c>
      <c r="P6" s="24">
        <v>36</v>
      </c>
      <c r="Q6" s="25">
        <f>C6*P6/3600</f>
        <v>13</v>
      </c>
      <c r="R6" s="26" t="s">
        <v>13</v>
      </c>
      <c r="S6" s="26" t="s">
        <v>13</v>
      </c>
      <c r="T6" s="27">
        <f>I6+M6+Q6</f>
        <v>68.972222222222229</v>
      </c>
    </row>
    <row r="7" spans="1:20" ht="33" customHeight="1" x14ac:dyDescent="0.25">
      <c r="B7" s="2" t="s">
        <v>15</v>
      </c>
      <c r="C7" s="3">
        <v>1100</v>
      </c>
      <c r="D7" s="18">
        <v>108</v>
      </c>
      <c r="E7" s="19">
        <f>C7*D7/3600</f>
        <v>33</v>
      </c>
      <c r="F7" s="19">
        <f>E7/$F$2</f>
        <v>8.25</v>
      </c>
      <c r="G7" s="19">
        <f>F7/$C$2</f>
        <v>0.91666666666666663</v>
      </c>
      <c r="H7" s="20">
        <v>91</v>
      </c>
      <c r="I7" s="21">
        <f>C7*H7/3600</f>
        <v>27.805555555555557</v>
      </c>
      <c r="J7" s="21">
        <f>I7/$J$2</f>
        <v>4.6342592592592595</v>
      </c>
      <c r="K7" s="21">
        <f>J7/$C$2</f>
        <v>0.51491769547325106</v>
      </c>
      <c r="L7" s="22">
        <v>108</v>
      </c>
      <c r="M7" s="23">
        <f>C7*L7/3600</f>
        <v>33</v>
      </c>
      <c r="N7" s="23">
        <f>M7/$N$2</f>
        <v>4.125</v>
      </c>
      <c r="O7" s="23">
        <f>N7/$C$2</f>
        <v>0.45833333333333331</v>
      </c>
      <c r="P7" s="26" t="s">
        <v>13</v>
      </c>
      <c r="Q7" s="26" t="s">
        <v>13</v>
      </c>
      <c r="R7" s="26" t="s">
        <v>13</v>
      </c>
      <c r="S7" s="26" t="s">
        <v>13</v>
      </c>
      <c r="T7" s="27">
        <f>E7+I7+M7</f>
        <v>93.805555555555557</v>
      </c>
    </row>
    <row r="8" spans="1:20" ht="33" customHeight="1" x14ac:dyDescent="0.25">
      <c r="B8" s="2" t="s">
        <v>17</v>
      </c>
      <c r="C8" s="3">
        <v>1500</v>
      </c>
      <c r="D8" s="18">
        <v>72</v>
      </c>
      <c r="E8" s="19">
        <f>C8*D8/3600</f>
        <v>30</v>
      </c>
      <c r="F8" s="19">
        <f>E8/$F$2</f>
        <v>7.5</v>
      </c>
      <c r="G8" s="19">
        <f>F8/$C$2</f>
        <v>0.83333333333333337</v>
      </c>
      <c r="H8" s="20">
        <v>100</v>
      </c>
      <c r="I8" s="21">
        <f>C8*H8/3600</f>
        <v>41.666666666666664</v>
      </c>
      <c r="J8" s="21">
        <f>I8/$J$2</f>
        <v>6.9444444444444438</v>
      </c>
      <c r="K8" s="21">
        <f>J8/$C$2</f>
        <v>0.77160493827160481</v>
      </c>
      <c r="L8" s="22">
        <v>36</v>
      </c>
      <c r="M8" s="23">
        <f>C8*L8/3600</f>
        <v>15</v>
      </c>
      <c r="N8" s="23">
        <f>M8/$N$2</f>
        <v>1.875</v>
      </c>
      <c r="O8" s="23">
        <f>N8/$C$2</f>
        <v>0.20833333333333334</v>
      </c>
      <c r="P8" s="26" t="s">
        <v>13</v>
      </c>
      <c r="Q8" s="26" t="s">
        <v>13</v>
      </c>
      <c r="R8" s="28">
        <v>120</v>
      </c>
      <c r="S8" s="29">
        <f>C8*R8/3600</f>
        <v>50</v>
      </c>
      <c r="T8" s="27">
        <f>E8+I8+M8+S8</f>
        <v>136.66666666666666</v>
      </c>
    </row>
    <row r="9" spans="1:20" ht="33" customHeight="1" x14ac:dyDescent="0.25">
      <c r="B9" s="2" t="s">
        <v>18</v>
      </c>
      <c r="C9" s="3">
        <v>900</v>
      </c>
      <c r="D9" s="18">
        <v>216</v>
      </c>
      <c r="E9" s="19">
        <f>C9*D9/3600</f>
        <v>54</v>
      </c>
      <c r="F9" s="19">
        <f>E9/$F$2</f>
        <v>13.5</v>
      </c>
      <c r="G9" s="19">
        <f>F9/$C$2</f>
        <v>1.5</v>
      </c>
      <c r="H9" s="20">
        <v>60</v>
      </c>
      <c r="I9" s="21">
        <f>C9*H9/3600</f>
        <v>15</v>
      </c>
      <c r="J9" s="21">
        <f>I9/$J$2</f>
        <v>2.5</v>
      </c>
      <c r="K9" s="21">
        <f>J9/$C$2</f>
        <v>0.27777777777777779</v>
      </c>
      <c r="L9" s="22">
        <v>180</v>
      </c>
      <c r="M9" s="23">
        <f>C9*L9/3600</f>
        <v>45</v>
      </c>
      <c r="N9" s="23">
        <f>M9/$N$2</f>
        <v>5.625</v>
      </c>
      <c r="O9" s="23">
        <f>N9/$C$2</f>
        <v>0.625</v>
      </c>
      <c r="P9" s="26" t="s">
        <v>13</v>
      </c>
      <c r="Q9" s="26" t="s">
        <v>13</v>
      </c>
      <c r="R9" s="28">
        <v>424</v>
      </c>
      <c r="S9" s="29">
        <f>C9*R9/3600</f>
        <v>106</v>
      </c>
      <c r="T9" s="27">
        <f>E9+I9+M9+S9</f>
        <v>220</v>
      </c>
    </row>
    <row r="10" spans="1:20" x14ac:dyDescent="0.25">
      <c r="A10" s="1"/>
      <c r="B10" s="1" t="s">
        <v>29</v>
      </c>
      <c r="C10" s="8">
        <f>SUM(C6:C9)</f>
        <v>4800</v>
      </c>
      <c r="D10" s="1"/>
      <c r="E10" s="31">
        <f>SUM(E6:E9)</f>
        <v>117</v>
      </c>
      <c r="F10" s="31">
        <f>SUM(F6:F9)</f>
        <v>29.25</v>
      </c>
      <c r="G10" s="31">
        <f>SUM(G6:G9)</f>
        <v>3.25</v>
      </c>
      <c r="H10" s="1"/>
      <c r="I10" s="31">
        <f>SUM(I6:I9)</f>
        <v>101.44444444444444</v>
      </c>
      <c r="J10" s="31">
        <f>SUM(J6:J9)</f>
        <v>16.907407407407408</v>
      </c>
      <c r="K10" s="31">
        <f>SUM(K6:K9)</f>
        <v>1.8786008230452675</v>
      </c>
      <c r="L10" s="1"/>
      <c r="M10" s="31">
        <f>SUM(M6:M9)</f>
        <v>132</v>
      </c>
      <c r="N10" s="31">
        <f>SUM(N6:N9)</f>
        <v>16.5</v>
      </c>
      <c r="O10" s="31">
        <f>SUM(O6:O9)</f>
        <v>1.8333333333333333</v>
      </c>
      <c r="P10" s="1"/>
      <c r="Q10" s="31">
        <f>SUM(Q6:Q9)</f>
        <v>13</v>
      </c>
      <c r="R10" s="1"/>
      <c r="S10" s="31">
        <f>SUM(S6:S9)</f>
        <v>156</v>
      </c>
      <c r="T10" s="31">
        <f>SUM(T6:T9)</f>
        <v>519.44444444444446</v>
      </c>
    </row>
  </sheetData>
  <mergeCells count="6">
    <mergeCell ref="A1:T1"/>
    <mergeCell ref="P3:Q3"/>
    <mergeCell ref="D3:G3"/>
    <mergeCell ref="H3:K3"/>
    <mergeCell ref="L3:O3"/>
    <mergeCell ref="R3:S3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9" customWidth="1"/>
    <col min="2" max="2" width="22" customWidth="1"/>
    <col min="3" max="20" width="11" customWidth="1"/>
  </cols>
  <sheetData>
    <row r="1" spans="1:20" ht="18.75" x14ac:dyDescent="0.3">
      <c r="A1" s="79" t="s">
        <v>55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 ht="15.75" x14ac:dyDescent="0.25">
      <c r="B2" s="9" t="s">
        <v>41</v>
      </c>
      <c r="C2" s="10">
        <v>9</v>
      </c>
      <c r="D2" s="11" t="s">
        <v>42</v>
      </c>
      <c r="F2" s="10">
        <v>4</v>
      </c>
      <c r="H2" s="11" t="s">
        <v>42</v>
      </c>
      <c r="J2" s="10">
        <v>6</v>
      </c>
      <c r="L2" s="11" t="s">
        <v>42</v>
      </c>
      <c r="N2" s="10">
        <v>8</v>
      </c>
    </row>
    <row r="3" spans="1:20" x14ac:dyDescent="0.25">
      <c r="A3" s="1"/>
      <c r="B3" s="1" t="s">
        <v>3</v>
      </c>
      <c r="C3" s="1" t="s">
        <v>49</v>
      </c>
      <c r="D3" s="82" t="s">
        <v>5</v>
      </c>
      <c r="E3" s="84"/>
      <c r="F3" s="84"/>
      <c r="G3" s="83"/>
      <c r="H3" s="82" t="s">
        <v>6</v>
      </c>
      <c r="I3" s="84"/>
      <c r="J3" s="84"/>
      <c r="K3" s="83"/>
      <c r="L3" s="82" t="s">
        <v>7</v>
      </c>
      <c r="M3" s="84"/>
      <c r="N3" s="84"/>
      <c r="O3" s="83"/>
      <c r="P3" s="82" t="s">
        <v>8</v>
      </c>
      <c r="Q3" s="83"/>
      <c r="R3" s="82" t="s">
        <v>10</v>
      </c>
      <c r="S3" s="83"/>
      <c r="T3" s="1" t="s">
        <v>29</v>
      </c>
    </row>
    <row r="4" spans="1:20" x14ac:dyDescent="0.25">
      <c r="A4" s="1"/>
      <c r="B4" s="1"/>
      <c r="C4" s="1"/>
      <c r="D4" s="1" t="s">
        <v>43</v>
      </c>
      <c r="E4" s="1" t="s">
        <v>44</v>
      </c>
      <c r="F4" s="1" t="s">
        <v>45</v>
      </c>
      <c r="G4" s="1" t="s">
        <v>46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43</v>
      </c>
      <c r="Q4" s="1" t="s">
        <v>44</v>
      </c>
      <c r="R4" s="1" t="s">
        <v>43</v>
      </c>
      <c r="S4" s="1" t="s">
        <v>44</v>
      </c>
      <c r="T4" s="1" t="s">
        <v>47</v>
      </c>
    </row>
    <row r="5" spans="1:20" x14ac:dyDescent="0.25">
      <c r="A5" s="12"/>
      <c r="B5" s="12"/>
      <c r="C5" s="12"/>
      <c r="D5" s="13"/>
      <c r="E5" s="13"/>
      <c r="F5" s="13"/>
      <c r="G5" s="13"/>
      <c r="H5" s="14"/>
      <c r="I5" s="14"/>
      <c r="J5" s="14"/>
      <c r="K5" s="14"/>
      <c r="L5" s="15"/>
      <c r="M5" s="15"/>
      <c r="N5" s="15"/>
      <c r="O5" s="15"/>
      <c r="P5" s="16"/>
      <c r="Q5" s="16"/>
      <c r="R5" s="17"/>
      <c r="S5" s="17"/>
      <c r="T5" s="12"/>
    </row>
    <row r="6" spans="1:20" ht="33" customHeight="1" x14ac:dyDescent="0.25">
      <c r="B6" s="2" t="s">
        <v>14</v>
      </c>
      <c r="C6" s="3">
        <v>1500</v>
      </c>
      <c r="D6" s="26" t="s">
        <v>13</v>
      </c>
      <c r="E6" s="26" t="s">
        <v>13</v>
      </c>
      <c r="F6" s="26" t="s">
        <v>13</v>
      </c>
      <c r="G6" s="26" t="s">
        <v>13</v>
      </c>
      <c r="H6" s="20">
        <v>47</v>
      </c>
      <c r="I6" s="21">
        <f>C6*H6/3600</f>
        <v>19.583333333333332</v>
      </c>
      <c r="J6" s="21">
        <f>I6/$J$2</f>
        <v>3.2638888888888888</v>
      </c>
      <c r="K6" s="21">
        <f>J6/$C$2</f>
        <v>0.36265432098765432</v>
      </c>
      <c r="L6" s="22">
        <v>108</v>
      </c>
      <c r="M6" s="23">
        <f>C6*L6/3600</f>
        <v>45</v>
      </c>
      <c r="N6" s="23">
        <f>M6/$N$2</f>
        <v>5.625</v>
      </c>
      <c r="O6" s="23">
        <f>N6/$C$2</f>
        <v>0.625</v>
      </c>
      <c r="P6" s="24">
        <v>36</v>
      </c>
      <c r="Q6" s="25">
        <f>C6*P6/3600</f>
        <v>15</v>
      </c>
      <c r="R6" s="26" t="s">
        <v>13</v>
      </c>
      <c r="S6" s="26" t="s">
        <v>13</v>
      </c>
      <c r="T6" s="27">
        <f>I6+M6+Q6</f>
        <v>79.583333333333329</v>
      </c>
    </row>
    <row r="7" spans="1:20" ht="33" customHeight="1" x14ac:dyDescent="0.25">
      <c r="B7" s="2" t="s">
        <v>15</v>
      </c>
      <c r="C7" s="3">
        <v>1100</v>
      </c>
      <c r="D7" s="18">
        <v>108</v>
      </c>
      <c r="E7" s="19">
        <f>C7*D7/3600</f>
        <v>33</v>
      </c>
      <c r="F7" s="19">
        <f>E7/$F$2</f>
        <v>8.25</v>
      </c>
      <c r="G7" s="19">
        <f>F7/$C$2</f>
        <v>0.91666666666666663</v>
      </c>
      <c r="H7" s="20">
        <v>91</v>
      </c>
      <c r="I7" s="21">
        <f>C7*H7/3600</f>
        <v>27.805555555555557</v>
      </c>
      <c r="J7" s="21">
        <f>I7/$J$2</f>
        <v>4.6342592592592595</v>
      </c>
      <c r="K7" s="21">
        <f>J7/$C$2</f>
        <v>0.51491769547325106</v>
      </c>
      <c r="L7" s="22">
        <v>108</v>
      </c>
      <c r="M7" s="23">
        <f>C7*L7/3600</f>
        <v>33</v>
      </c>
      <c r="N7" s="23">
        <f>M7/$N$2</f>
        <v>4.125</v>
      </c>
      <c r="O7" s="23">
        <f>N7/$C$2</f>
        <v>0.45833333333333331</v>
      </c>
      <c r="P7" s="26" t="s">
        <v>13</v>
      </c>
      <c r="Q7" s="26" t="s">
        <v>13</v>
      </c>
      <c r="R7" s="26" t="s">
        <v>13</v>
      </c>
      <c r="S7" s="26" t="s">
        <v>13</v>
      </c>
      <c r="T7" s="27">
        <f>E7+I7+M7</f>
        <v>93.805555555555557</v>
      </c>
    </row>
    <row r="8" spans="1:20" ht="33" customHeight="1" x14ac:dyDescent="0.25">
      <c r="B8" s="2" t="s">
        <v>17</v>
      </c>
      <c r="C8" s="3">
        <v>1500</v>
      </c>
      <c r="D8" s="18">
        <v>72</v>
      </c>
      <c r="E8" s="19">
        <f>C8*D8/3600</f>
        <v>30</v>
      </c>
      <c r="F8" s="19">
        <f>E8/$F$2</f>
        <v>7.5</v>
      </c>
      <c r="G8" s="19">
        <f>F8/$C$2</f>
        <v>0.83333333333333337</v>
      </c>
      <c r="H8" s="20">
        <v>100</v>
      </c>
      <c r="I8" s="21">
        <f>C8*H8/3600</f>
        <v>41.666666666666664</v>
      </c>
      <c r="J8" s="21">
        <f>I8/$J$2</f>
        <v>6.9444444444444438</v>
      </c>
      <c r="K8" s="21">
        <f>J8/$C$2</f>
        <v>0.77160493827160481</v>
      </c>
      <c r="L8" s="22">
        <v>36</v>
      </c>
      <c r="M8" s="23">
        <f>C8*L8/3600</f>
        <v>15</v>
      </c>
      <c r="N8" s="23">
        <f>M8/$N$2</f>
        <v>1.875</v>
      </c>
      <c r="O8" s="23">
        <f>N8/$C$2</f>
        <v>0.20833333333333334</v>
      </c>
      <c r="P8" s="26" t="s">
        <v>13</v>
      </c>
      <c r="Q8" s="26" t="s">
        <v>13</v>
      </c>
      <c r="R8" s="28">
        <v>120</v>
      </c>
      <c r="S8" s="29">
        <f>C8*R8/3600</f>
        <v>50</v>
      </c>
      <c r="T8" s="27">
        <f>E8+I8+M8+S8</f>
        <v>136.66666666666666</v>
      </c>
    </row>
    <row r="9" spans="1:20" ht="33" customHeight="1" x14ac:dyDescent="0.25">
      <c r="B9" s="2" t="s">
        <v>18</v>
      </c>
      <c r="C9" s="3">
        <v>900</v>
      </c>
      <c r="D9" s="18">
        <v>216</v>
      </c>
      <c r="E9" s="19">
        <f>C9*D9/3600</f>
        <v>54</v>
      </c>
      <c r="F9" s="19">
        <f>E9/$F$2</f>
        <v>13.5</v>
      </c>
      <c r="G9" s="19">
        <f>F9/$C$2</f>
        <v>1.5</v>
      </c>
      <c r="H9" s="20">
        <v>60</v>
      </c>
      <c r="I9" s="21">
        <f>C9*H9/3600</f>
        <v>15</v>
      </c>
      <c r="J9" s="21">
        <f>I9/$J$2</f>
        <v>2.5</v>
      </c>
      <c r="K9" s="21">
        <f>J9/$C$2</f>
        <v>0.27777777777777779</v>
      </c>
      <c r="L9" s="22">
        <v>180</v>
      </c>
      <c r="M9" s="23">
        <f>C9*L9/3600</f>
        <v>45</v>
      </c>
      <c r="N9" s="23">
        <f>M9/$N$2</f>
        <v>5.625</v>
      </c>
      <c r="O9" s="23">
        <f>N9/$C$2</f>
        <v>0.625</v>
      </c>
      <c r="P9" s="26" t="s">
        <v>13</v>
      </c>
      <c r="Q9" s="26" t="s">
        <v>13</v>
      </c>
      <c r="R9" s="28">
        <v>424</v>
      </c>
      <c r="S9" s="29">
        <f>C9*R9/3600</f>
        <v>106</v>
      </c>
      <c r="T9" s="27">
        <f>E9+I9+M9+S9</f>
        <v>220</v>
      </c>
    </row>
    <row r="10" spans="1:20" x14ac:dyDescent="0.25">
      <c r="A10" s="1"/>
      <c r="B10" s="1" t="s">
        <v>29</v>
      </c>
      <c r="C10" s="8">
        <f>SUM(C6:C9)</f>
        <v>5000</v>
      </c>
      <c r="D10" s="1"/>
      <c r="E10" s="31">
        <f>SUM(E6:E9)</f>
        <v>117</v>
      </c>
      <c r="F10" s="31">
        <f>SUM(F6:F9)</f>
        <v>29.25</v>
      </c>
      <c r="G10" s="31">
        <f>SUM(G6:G9)</f>
        <v>3.25</v>
      </c>
      <c r="H10" s="1"/>
      <c r="I10" s="31">
        <f>SUM(I6:I9)</f>
        <v>104.05555555555554</v>
      </c>
      <c r="J10" s="31">
        <f>SUM(J6:J9)</f>
        <v>17.342592592592592</v>
      </c>
      <c r="K10" s="31">
        <f>SUM(K6:K9)</f>
        <v>1.9269547325102878</v>
      </c>
      <c r="L10" s="1"/>
      <c r="M10" s="31">
        <f>SUM(M6:M9)</f>
        <v>138</v>
      </c>
      <c r="N10" s="31">
        <f>SUM(N6:N9)</f>
        <v>17.25</v>
      </c>
      <c r="O10" s="31">
        <f>SUM(O6:O9)</f>
        <v>1.9166666666666665</v>
      </c>
      <c r="P10" s="1"/>
      <c r="Q10" s="31">
        <f>SUM(Q6:Q9)</f>
        <v>15</v>
      </c>
      <c r="R10" s="1"/>
      <c r="S10" s="31">
        <f>SUM(S6:S9)</f>
        <v>156</v>
      </c>
      <c r="T10" s="31">
        <f>SUM(T6:T9)</f>
        <v>530.05555555555554</v>
      </c>
    </row>
  </sheetData>
  <mergeCells count="6">
    <mergeCell ref="A1:T1"/>
    <mergeCell ref="P3:Q3"/>
    <mergeCell ref="D3:G3"/>
    <mergeCell ref="H3:K3"/>
    <mergeCell ref="L3:O3"/>
    <mergeCell ref="R3:S3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3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2" customWidth="1"/>
    <col min="3" max="20" width="11" customWidth="1"/>
  </cols>
  <sheetData>
    <row r="1" spans="1:20" ht="18.75" x14ac:dyDescent="0.3">
      <c r="A1" s="79" t="s">
        <v>56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 ht="15.75" x14ac:dyDescent="0.25">
      <c r="B2" s="9" t="s">
        <v>41</v>
      </c>
      <c r="C2" s="10">
        <v>9</v>
      </c>
      <c r="D2" s="11" t="s">
        <v>42</v>
      </c>
      <c r="F2" s="10">
        <v>4</v>
      </c>
      <c r="H2" s="11" t="s">
        <v>42</v>
      </c>
      <c r="J2" s="10">
        <v>6</v>
      </c>
      <c r="L2" s="11" t="s">
        <v>42</v>
      </c>
      <c r="N2" s="10">
        <v>8</v>
      </c>
    </row>
    <row r="3" spans="1:20" x14ac:dyDescent="0.25">
      <c r="A3" s="1"/>
      <c r="B3" s="1" t="s">
        <v>1</v>
      </c>
      <c r="C3" s="1" t="s">
        <v>57</v>
      </c>
      <c r="D3" s="82" t="s">
        <v>5</v>
      </c>
      <c r="E3" s="84"/>
      <c r="F3" s="84"/>
      <c r="G3" s="83"/>
      <c r="H3" s="82" t="s">
        <v>6</v>
      </c>
      <c r="I3" s="84"/>
      <c r="J3" s="84"/>
      <c r="K3" s="83"/>
      <c r="L3" s="82" t="s">
        <v>7</v>
      </c>
      <c r="M3" s="84"/>
      <c r="N3" s="84"/>
      <c r="O3" s="83"/>
      <c r="P3" s="82" t="s">
        <v>8</v>
      </c>
      <c r="Q3" s="83"/>
      <c r="R3" s="82" t="s">
        <v>10</v>
      </c>
      <c r="S3" s="83"/>
      <c r="T3" s="1" t="s">
        <v>29</v>
      </c>
    </row>
    <row r="4" spans="1:20" x14ac:dyDescent="0.25">
      <c r="A4" s="1"/>
      <c r="B4" s="1"/>
      <c r="C4" s="1"/>
      <c r="D4" s="1"/>
      <c r="E4" s="1" t="s">
        <v>44</v>
      </c>
      <c r="F4" s="1" t="s">
        <v>45</v>
      </c>
      <c r="G4" s="1" t="s">
        <v>46</v>
      </c>
      <c r="H4" s="1"/>
      <c r="I4" s="1" t="s">
        <v>44</v>
      </c>
      <c r="J4" s="1" t="s">
        <v>45</v>
      </c>
      <c r="K4" s="1" t="s">
        <v>46</v>
      </c>
      <c r="L4" s="1"/>
      <c r="M4" s="1" t="s">
        <v>44</v>
      </c>
      <c r="N4" s="1" t="s">
        <v>45</v>
      </c>
      <c r="O4" s="1" t="s">
        <v>46</v>
      </c>
      <c r="P4" s="1"/>
      <c r="Q4" s="1" t="s">
        <v>44</v>
      </c>
      <c r="R4" s="1"/>
      <c r="S4" s="1" t="s">
        <v>44</v>
      </c>
      <c r="T4" s="1" t="s">
        <v>47</v>
      </c>
    </row>
    <row r="5" spans="1:20" x14ac:dyDescent="0.25">
      <c r="A5" s="12"/>
      <c r="B5" s="12"/>
      <c r="C5" s="12"/>
      <c r="D5" s="13"/>
      <c r="E5" s="13"/>
      <c r="F5" s="13"/>
      <c r="G5" s="13"/>
      <c r="H5" s="14"/>
      <c r="I5" s="14"/>
      <c r="J5" s="14"/>
      <c r="K5" s="14"/>
      <c r="L5" s="15"/>
      <c r="M5" s="15"/>
      <c r="N5" s="15"/>
      <c r="O5" s="15"/>
      <c r="P5" s="16"/>
      <c r="Q5" s="16"/>
      <c r="R5" s="17"/>
      <c r="S5" s="17"/>
      <c r="T5" s="12"/>
    </row>
    <row r="6" spans="1:20" x14ac:dyDescent="0.25">
      <c r="B6" s="32" t="s">
        <v>32</v>
      </c>
      <c r="C6" s="3">
        <f>'Sem 15'!C11</f>
        <v>5000</v>
      </c>
      <c r="D6" s="12"/>
      <c r="E6" s="19">
        <f>'Sem 15'!E11</f>
        <v>147</v>
      </c>
      <c r="F6" s="19">
        <f t="shared" ref="F6:F12" si="0">E6/$F$2</f>
        <v>36.75</v>
      </c>
      <c r="G6" s="19">
        <f t="shared" ref="G6:G12" si="1">F6/$C$2</f>
        <v>4.083333333333333</v>
      </c>
      <c r="H6" s="12"/>
      <c r="I6" s="21">
        <f>'Sem 15'!I11</f>
        <v>197.77777777777777</v>
      </c>
      <c r="J6" s="21">
        <f t="shared" ref="J6:J12" si="2">I6/$J$2</f>
        <v>32.962962962962962</v>
      </c>
      <c r="K6" s="21">
        <f t="shared" ref="K6:K12" si="3">J6/$C$2</f>
        <v>3.6625514403292181</v>
      </c>
      <c r="L6" s="12"/>
      <c r="M6" s="23">
        <f>'Sem 15'!M11</f>
        <v>159</v>
      </c>
      <c r="N6" s="23">
        <f t="shared" ref="N6:N12" si="4">M6/$N$2</f>
        <v>19.875</v>
      </c>
      <c r="O6" s="23">
        <f t="shared" ref="O6:O12" si="5">N6/$C$2</f>
        <v>2.2083333333333335</v>
      </c>
      <c r="P6" s="12"/>
      <c r="Q6" s="25">
        <f>'Sem 15'!Q11</f>
        <v>38</v>
      </c>
      <c r="R6" s="12"/>
      <c r="S6" s="29">
        <f>'Sem 15'!S11</f>
        <v>0</v>
      </c>
      <c r="T6" s="27">
        <f t="shared" ref="T6:T12" si="6">E6+I6+M6+Q6+S6</f>
        <v>541.77777777777783</v>
      </c>
    </row>
    <row r="7" spans="1:20" x14ac:dyDescent="0.25">
      <c r="B7" s="32" t="s">
        <v>33</v>
      </c>
      <c r="C7" s="3">
        <f>'Sem 16'!C10</f>
        <v>4400</v>
      </c>
      <c r="D7" s="12"/>
      <c r="E7" s="19">
        <f>'Sem 16'!E10</f>
        <v>51.222222222222221</v>
      </c>
      <c r="F7" s="19">
        <f t="shared" si="0"/>
        <v>12.805555555555555</v>
      </c>
      <c r="G7" s="19">
        <f t="shared" si="1"/>
        <v>1.4228395061728394</v>
      </c>
      <c r="H7" s="12"/>
      <c r="I7" s="21">
        <f>'Sem 16'!I10</f>
        <v>182.77777777777777</v>
      </c>
      <c r="J7" s="21">
        <f t="shared" si="2"/>
        <v>30.462962962962962</v>
      </c>
      <c r="K7" s="21">
        <f t="shared" si="3"/>
        <v>3.3847736625514404</v>
      </c>
      <c r="L7" s="12"/>
      <c r="M7" s="23">
        <f>'Sem 16'!M10</f>
        <v>177.55555555555554</v>
      </c>
      <c r="N7" s="23">
        <f t="shared" si="4"/>
        <v>22.194444444444443</v>
      </c>
      <c r="O7" s="23">
        <f t="shared" si="5"/>
        <v>2.466049382716049</v>
      </c>
      <c r="P7" s="12"/>
      <c r="Q7" s="25">
        <f>'Sem 16'!Q10</f>
        <v>37.666666666666664</v>
      </c>
      <c r="R7" s="12"/>
      <c r="S7" s="29">
        <f>'Sem 16'!S10</f>
        <v>0</v>
      </c>
      <c r="T7" s="27">
        <f t="shared" si="6"/>
        <v>449.22222222222223</v>
      </c>
    </row>
    <row r="8" spans="1:20" x14ac:dyDescent="0.25">
      <c r="B8" s="32" t="s">
        <v>34</v>
      </c>
      <c r="C8" s="3">
        <f>'Sem 17'!C11</f>
        <v>4800</v>
      </c>
      <c r="D8" s="12"/>
      <c r="E8" s="19">
        <f>'Sem 17'!E11</f>
        <v>51.222222222222221</v>
      </c>
      <c r="F8" s="19">
        <f t="shared" si="0"/>
        <v>12.805555555555555</v>
      </c>
      <c r="G8" s="19">
        <f t="shared" si="1"/>
        <v>1.4228395061728394</v>
      </c>
      <c r="H8" s="12"/>
      <c r="I8" s="21">
        <f>'Sem 17'!I11</f>
        <v>165.80555555555554</v>
      </c>
      <c r="J8" s="21">
        <f t="shared" si="2"/>
        <v>27.634259259259256</v>
      </c>
      <c r="K8" s="21">
        <f t="shared" si="3"/>
        <v>3.0704732510288064</v>
      </c>
      <c r="L8" s="12"/>
      <c r="M8" s="23">
        <f>'Sem 17'!M11</f>
        <v>171.55555555555554</v>
      </c>
      <c r="N8" s="23">
        <f t="shared" si="4"/>
        <v>21.444444444444443</v>
      </c>
      <c r="O8" s="23">
        <f t="shared" si="5"/>
        <v>2.382716049382716</v>
      </c>
      <c r="P8" s="12"/>
      <c r="Q8" s="25">
        <f>'Sem 17'!Q11</f>
        <v>24.666666666666664</v>
      </c>
      <c r="R8" s="12"/>
      <c r="S8" s="29">
        <f>'Sem 17'!S11</f>
        <v>143</v>
      </c>
      <c r="T8" s="27">
        <f t="shared" si="6"/>
        <v>556.25</v>
      </c>
    </row>
    <row r="9" spans="1:20" x14ac:dyDescent="0.25">
      <c r="B9" s="32" t="s">
        <v>35</v>
      </c>
      <c r="C9" s="3">
        <f>'Sem 18'!C12</f>
        <v>4600</v>
      </c>
      <c r="D9" s="12"/>
      <c r="E9" s="19">
        <f>'Sem 18'!E12</f>
        <v>69.5</v>
      </c>
      <c r="F9" s="19">
        <f t="shared" si="0"/>
        <v>17.375</v>
      </c>
      <c r="G9" s="19">
        <f t="shared" si="1"/>
        <v>1.9305555555555556</v>
      </c>
      <c r="H9" s="12"/>
      <c r="I9" s="21">
        <f>'Sem 18'!I12</f>
        <v>71.5</v>
      </c>
      <c r="J9" s="21">
        <f t="shared" si="2"/>
        <v>11.916666666666666</v>
      </c>
      <c r="K9" s="21">
        <f t="shared" si="3"/>
        <v>1.324074074074074</v>
      </c>
      <c r="L9" s="12"/>
      <c r="M9" s="23">
        <f>'Sem 18'!M12</f>
        <v>224.5</v>
      </c>
      <c r="N9" s="23">
        <f t="shared" si="4"/>
        <v>28.0625</v>
      </c>
      <c r="O9" s="23">
        <f t="shared" si="5"/>
        <v>3.1180555555555554</v>
      </c>
      <c r="P9" s="12"/>
      <c r="Q9" s="25">
        <f>'Sem 18'!Q12</f>
        <v>9</v>
      </c>
      <c r="R9" s="12"/>
      <c r="S9" s="29">
        <f>'Sem 18'!S12</f>
        <v>143</v>
      </c>
      <c r="T9" s="27">
        <f t="shared" si="6"/>
        <v>517.5</v>
      </c>
    </row>
    <row r="10" spans="1:20" x14ac:dyDescent="0.25">
      <c r="B10" s="32" t="s">
        <v>36</v>
      </c>
      <c r="C10" s="3">
        <f>'Sem 19'!C12</f>
        <v>4800</v>
      </c>
      <c r="D10" s="12"/>
      <c r="E10" s="19">
        <f>'Sem 19'!E12</f>
        <v>69.5</v>
      </c>
      <c r="F10" s="19">
        <f t="shared" si="0"/>
        <v>17.375</v>
      </c>
      <c r="G10" s="19">
        <f t="shared" si="1"/>
        <v>1.9305555555555556</v>
      </c>
      <c r="H10" s="12"/>
      <c r="I10" s="21">
        <f>'Sem 19'!I12</f>
        <v>71.5</v>
      </c>
      <c r="J10" s="21">
        <f t="shared" si="2"/>
        <v>11.916666666666666</v>
      </c>
      <c r="K10" s="21">
        <f t="shared" si="3"/>
        <v>1.324074074074074</v>
      </c>
      <c r="L10" s="12"/>
      <c r="M10" s="23">
        <f>'Sem 19'!M12</f>
        <v>230.5</v>
      </c>
      <c r="N10" s="23">
        <f t="shared" si="4"/>
        <v>28.8125</v>
      </c>
      <c r="O10" s="23">
        <f t="shared" si="5"/>
        <v>3.2013888888888888</v>
      </c>
      <c r="P10" s="12"/>
      <c r="Q10" s="25">
        <f>'Sem 19'!Q12</f>
        <v>9</v>
      </c>
      <c r="R10" s="12"/>
      <c r="S10" s="29">
        <f>'Sem 19'!S12</f>
        <v>169</v>
      </c>
      <c r="T10" s="27">
        <f t="shared" si="6"/>
        <v>549.5</v>
      </c>
    </row>
    <row r="11" spans="1:20" x14ac:dyDescent="0.25">
      <c r="B11" s="32" t="s">
        <v>37</v>
      </c>
      <c r="C11" s="3">
        <f>'Sem 20'!C10</f>
        <v>4800</v>
      </c>
      <c r="D11" s="12"/>
      <c r="E11" s="19">
        <f>'Sem 20'!E10</f>
        <v>117</v>
      </c>
      <c r="F11" s="19">
        <f t="shared" si="0"/>
        <v>29.25</v>
      </c>
      <c r="G11" s="19">
        <f t="shared" si="1"/>
        <v>3.25</v>
      </c>
      <c r="H11" s="12"/>
      <c r="I11" s="21">
        <f>'Sem 20'!I10</f>
        <v>101.44444444444444</v>
      </c>
      <c r="J11" s="21">
        <f t="shared" si="2"/>
        <v>16.907407407407408</v>
      </c>
      <c r="K11" s="21">
        <f t="shared" si="3"/>
        <v>1.8786008230452675</v>
      </c>
      <c r="L11" s="12"/>
      <c r="M11" s="23">
        <f>'Sem 20'!M10</f>
        <v>132</v>
      </c>
      <c r="N11" s="23">
        <f t="shared" si="4"/>
        <v>16.5</v>
      </c>
      <c r="O11" s="23">
        <f t="shared" si="5"/>
        <v>1.8333333333333333</v>
      </c>
      <c r="P11" s="12"/>
      <c r="Q11" s="25">
        <f>'Sem 20'!Q10</f>
        <v>13</v>
      </c>
      <c r="R11" s="12"/>
      <c r="S11" s="29">
        <f>'Sem 20'!S10</f>
        <v>156</v>
      </c>
      <c r="T11" s="27">
        <f t="shared" si="6"/>
        <v>519.44444444444446</v>
      </c>
    </row>
    <row r="12" spans="1:20" x14ac:dyDescent="0.25">
      <c r="B12" s="32" t="s">
        <v>38</v>
      </c>
      <c r="C12" s="3">
        <f>'Sem 21'!C10</f>
        <v>5000</v>
      </c>
      <c r="D12" s="12"/>
      <c r="E12" s="19">
        <f>'Sem 21'!E10</f>
        <v>117</v>
      </c>
      <c r="F12" s="19">
        <f t="shared" si="0"/>
        <v>29.25</v>
      </c>
      <c r="G12" s="19">
        <f t="shared" si="1"/>
        <v>3.25</v>
      </c>
      <c r="H12" s="12"/>
      <c r="I12" s="21">
        <f>'Sem 21'!I10</f>
        <v>104.05555555555554</v>
      </c>
      <c r="J12" s="21">
        <f t="shared" si="2"/>
        <v>17.342592592592592</v>
      </c>
      <c r="K12" s="21">
        <f t="shared" si="3"/>
        <v>1.926954732510288</v>
      </c>
      <c r="L12" s="12"/>
      <c r="M12" s="23">
        <f>'Sem 21'!M10</f>
        <v>138</v>
      </c>
      <c r="N12" s="23">
        <f t="shared" si="4"/>
        <v>17.25</v>
      </c>
      <c r="O12" s="23">
        <f t="shared" si="5"/>
        <v>1.9166666666666667</v>
      </c>
      <c r="P12" s="12"/>
      <c r="Q12" s="25">
        <f>'Sem 21'!Q10</f>
        <v>15</v>
      </c>
      <c r="R12" s="12"/>
      <c r="S12" s="29">
        <f>'Sem 21'!S10</f>
        <v>156</v>
      </c>
      <c r="T12" s="27">
        <f t="shared" si="6"/>
        <v>530.05555555555554</v>
      </c>
    </row>
    <row r="13" spans="1:20" x14ac:dyDescent="0.25">
      <c r="A13" s="1"/>
      <c r="B13" s="1" t="s">
        <v>29</v>
      </c>
      <c r="C13" s="8">
        <f>SUM(C6:C12)</f>
        <v>33400</v>
      </c>
      <c r="D13" s="1"/>
      <c r="E13" s="31">
        <f>SUM(E6:E12)</f>
        <v>622.44444444444446</v>
      </c>
      <c r="F13" s="31">
        <f>SUM(F6:F12)</f>
        <v>155.61111111111111</v>
      </c>
      <c r="G13" s="31">
        <f>SUM(G6:G12)</f>
        <v>17.290123456790123</v>
      </c>
      <c r="H13" s="1"/>
      <c r="I13" s="31">
        <f>SUM(I6:I12)</f>
        <v>894.86111111111109</v>
      </c>
      <c r="J13" s="31">
        <f>SUM(J6:J12)</f>
        <v>149.1435185185185</v>
      </c>
      <c r="K13" s="31">
        <f>SUM(K6:K12)</f>
        <v>16.57150205761317</v>
      </c>
      <c r="L13" s="1"/>
      <c r="M13" s="31">
        <f>SUM(M6:M12)</f>
        <v>1233.1111111111111</v>
      </c>
      <c r="N13" s="31">
        <f>SUM(N6:N12)</f>
        <v>154.13888888888889</v>
      </c>
      <c r="O13" s="31">
        <f>SUM(O6:O12)</f>
        <v>17.126543209876544</v>
      </c>
      <c r="P13" s="1"/>
      <c r="Q13" s="31">
        <f>SUM(Q6:Q12)</f>
        <v>146.33333333333331</v>
      </c>
      <c r="R13" s="1"/>
      <c r="S13" s="31">
        <f>SUM(S6:S12)</f>
        <v>767</v>
      </c>
      <c r="T13" s="31">
        <f>SUM(T6:T12)</f>
        <v>3663.75</v>
      </c>
    </row>
  </sheetData>
  <mergeCells count="6">
    <mergeCell ref="A1:T1"/>
    <mergeCell ref="P3:Q3"/>
    <mergeCell ref="D3:G3"/>
    <mergeCell ref="H3:K3"/>
    <mergeCell ref="L3:O3"/>
    <mergeCell ref="R3:S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"/>
  <sheetViews>
    <sheetView workbookViewId="0"/>
  </sheetViews>
  <sheetFormatPr baseColWidth="10" defaultColWidth="9.140625" defaultRowHeight="15" x14ac:dyDescent="0.25"/>
  <cols>
    <col min="1" max="1" width="9" customWidth="1"/>
    <col min="2" max="2" width="24" customWidth="1"/>
    <col min="3" max="3" width="14" customWidth="1"/>
    <col min="4" max="9" width="16" customWidth="1"/>
  </cols>
  <sheetData>
    <row r="1" spans="1:9" ht="18.75" x14ac:dyDescent="0.3">
      <c r="A1" s="79" t="s">
        <v>58</v>
      </c>
      <c r="B1" s="80"/>
      <c r="C1" s="80"/>
      <c r="D1" s="80"/>
      <c r="E1" s="80"/>
      <c r="F1" s="80"/>
      <c r="G1" s="80"/>
      <c r="H1" s="80"/>
      <c r="I1" s="80"/>
    </row>
    <row r="3" spans="1:9" x14ac:dyDescent="0.25">
      <c r="A3" s="33"/>
      <c r="B3" s="33" t="s">
        <v>3</v>
      </c>
      <c r="C3" s="33" t="s">
        <v>59</v>
      </c>
      <c r="D3" s="33" t="s">
        <v>5</v>
      </c>
      <c r="E3" s="33" t="s">
        <v>6</v>
      </c>
      <c r="F3" s="33" t="s">
        <v>7</v>
      </c>
      <c r="G3" s="33" t="s">
        <v>8</v>
      </c>
      <c r="H3" s="33" t="s">
        <v>10</v>
      </c>
      <c r="I3" s="33" t="s">
        <v>60</v>
      </c>
    </row>
    <row r="4" spans="1:9" ht="33" customHeight="1" x14ac:dyDescent="0.25">
      <c r="B4" s="2" t="s">
        <v>12</v>
      </c>
      <c r="C4" s="34">
        <f>D4+E4+F4+G4</f>
        <v>479</v>
      </c>
      <c r="D4" s="35">
        <v>108</v>
      </c>
      <c r="E4" s="36">
        <v>263</v>
      </c>
      <c r="F4" s="37">
        <v>72</v>
      </c>
      <c r="G4" s="38">
        <v>36</v>
      </c>
      <c r="H4" s="26">
        <v>0</v>
      </c>
      <c r="I4" s="27">
        <f t="shared" ref="I4:I14" si="0">IF(C4&gt;0,3600/C4,0)</f>
        <v>7.515657620041754</v>
      </c>
    </row>
    <row r="5" spans="1:9" ht="33" customHeight="1" x14ac:dyDescent="0.25">
      <c r="B5" s="2" t="s">
        <v>14</v>
      </c>
      <c r="C5" s="34">
        <f>E5+F5+G5</f>
        <v>191</v>
      </c>
      <c r="D5" s="26">
        <v>0</v>
      </c>
      <c r="E5" s="36">
        <v>47</v>
      </c>
      <c r="F5" s="37">
        <v>108</v>
      </c>
      <c r="G5" s="38">
        <v>36</v>
      </c>
      <c r="H5" s="26">
        <v>0</v>
      </c>
      <c r="I5" s="27">
        <f t="shared" si="0"/>
        <v>18.848167539267017</v>
      </c>
    </row>
    <row r="6" spans="1:9" ht="33" customHeight="1" x14ac:dyDescent="0.25">
      <c r="B6" s="2" t="s">
        <v>15</v>
      </c>
      <c r="C6" s="34">
        <f>D6+E6+F6</f>
        <v>307</v>
      </c>
      <c r="D6" s="35">
        <v>108</v>
      </c>
      <c r="E6" s="36">
        <v>91</v>
      </c>
      <c r="F6" s="37">
        <v>108</v>
      </c>
      <c r="G6" s="26">
        <v>0</v>
      </c>
      <c r="H6" s="26">
        <v>0</v>
      </c>
      <c r="I6" s="27">
        <f t="shared" si="0"/>
        <v>11.726384364820847</v>
      </c>
    </row>
    <row r="7" spans="1:9" ht="33" customHeight="1" x14ac:dyDescent="0.25">
      <c r="B7" s="2" t="s">
        <v>16</v>
      </c>
      <c r="C7" s="34">
        <f>F7+H7</f>
        <v>576</v>
      </c>
      <c r="D7" s="26">
        <v>0</v>
      </c>
      <c r="E7" s="26">
        <v>0</v>
      </c>
      <c r="F7" s="37">
        <v>108</v>
      </c>
      <c r="G7" s="26">
        <v>0</v>
      </c>
      <c r="H7" s="39">
        <v>468</v>
      </c>
      <c r="I7" s="27">
        <f t="shared" si="0"/>
        <v>6.25</v>
      </c>
    </row>
    <row r="8" spans="1:9" ht="33" customHeight="1" x14ac:dyDescent="0.25">
      <c r="B8" s="2" t="s">
        <v>17</v>
      </c>
      <c r="C8" s="34">
        <f>D8+E8+F8+H8</f>
        <v>328</v>
      </c>
      <c r="D8" s="35">
        <v>72</v>
      </c>
      <c r="E8" s="36">
        <v>100</v>
      </c>
      <c r="F8" s="37">
        <v>36</v>
      </c>
      <c r="G8" s="26">
        <v>0</v>
      </c>
      <c r="H8" s="39">
        <v>120</v>
      </c>
      <c r="I8" s="27">
        <f t="shared" si="0"/>
        <v>10.975609756097562</v>
      </c>
    </row>
    <row r="9" spans="1:9" ht="33" customHeight="1" x14ac:dyDescent="0.25">
      <c r="B9" s="2" t="s">
        <v>18</v>
      </c>
      <c r="C9" s="34">
        <f>D9+E9+F9+H9</f>
        <v>880</v>
      </c>
      <c r="D9" s="35">
        <v>216</v>
      </c>
      <c r="E9" s="36">
        <v>60</v>
      </c>
      <c r="F9" s="37">
        <v>180</v>
      </c>
      <c r="G9" s="26">
        <v>0</v>
      </c>
      <c r="H9" s="39">
        <v>424</v>
      </c>
      <c r="I9" s="27">
        <f t="shared" si="0"/>
        <v>4.0909090909090908</v>
      </c>
    </row>
    <row r="10" spans="1:9" ht="33" customHeight="1" x14ac:dyDescent="0.25">
      <c r="B10" s="2" t="s">
        <v>19</v>
      </c>
      <c r="C10" s="34">
        <f>D10+E10+F10+G10</f>
        <v>531</v>
      </c>
      <c r="D10" s="35">
        <v>44</v>
      </c>
      <c r="E10" s="36">
        <v>155</v>
      </c>
      <c r="F10" s="37">
        <v>290</v>
      </c>
      <c r="G10" s="38">
        <v>42</v>
      </c>
      <c r="H10" s="26">
        <v>0</v>
      </c>
      <c r="I10" s="27">
        <f t="shared" si="0"/>
        <v>6.7796610169491522</v>
      </c>
    </row>
    <row r="11" spans="1:9" ht="33" customHeight="1" x14ac:dyDescent="0.25">
      <c r="B11" s="2" t="s">
        <v>20</v>
      </c>
      <c r="C11" s="34">
        <f>D11+E11+F11+G11</f>
        <v>433</v>
      </c>
      <c r="D11" s="35">
        <v>144</v>
      </c>
      <c r="E11" s="36">
        <v>145</v>
      </c>
      <c r="F11" s="37">
        <v>108</v>
      </c>
      <c r="G11" s="38">
        <v>36</v>
      </c>
      <c r="H11" s="26">
        <v>0</v>
      </c>
      <c r="I11" s="27">
        <f t="shared" si="0"/>
        <v>8.3140877598152425</v>
      </c>
    </row>
    <row r="12" spans="1:9" ht="33" customHeight="1" x14ac:dyDescent="0.25">
      <c r="B12" s="2" t="s">
        <v>21</v>
      </c>
      <c r="C12" s="34">
        <f>D12+E12+F12</f>
        <v>933</v>
      </c>
      <c r="D12" s="35">
        <v>134</v>
      </c>
      <c r="E12" s="36">
        <v>141</v>
      </c>
      <c r="F12" s="37">
        <v>658</v>
      </c>
      <c r="G12" s="26">
        <v>0</v>
      </c>
      <c r="H12" s="26">
        <v>0</v>
      </c>
      <c r="I12" s="27">
        <f t="shared" si="0"/>
        <v>3.8585209003215435</v>
      </c>
    </row>
    <row r="13" spans="1:9" ht="33" customHeight="1" x14ac:dyDescent="0.25">
      <c r="B13" s="2" t="s">
        <v>22</v>
      </c>
      <c r="C13" s="34">
        <f>D13+E13+F13+G13</f>
        <v>660</v>
      </c>
      <c r="D13" s="35">
        <v>180</v>
      </c>
      <c r="E13" s="36">
        <v>180</v>
      </c>
      <c r="F13" s="37">
        <v>240</v>
      </c>
      <c r="G13" s="38">
        <v>60</v>
      </c>
      <c r="H13" s="26">
        <v>0</v>
      </c>
      <c r="I13" s="27">
        <f t="shared" si="0"/>
        <v>5.4545454545454541</v>
      </c>
    </row>
    <row r="14" spans="1:9" ht="33" customHeight="1" x14ac:dyDescent="0.25">
      <c r="B14" s="2" t="s">
        <v>23</v>
      </c>
      <c r="C14" s="34">
        <f>E14+F14</f>
        <v>269</v>
      </c>
      <c r="D14" s="26">
        <v>0</v>
      </c>
      <c r="E14" s="36">
        <v>125</v>
      </c>
      <c r="F14" s="37">
        <v>144</v>
      </c>
      <c r="G14" s="26">
        <v>0</v>
      </c>
      <c r="H14" s="26">
        <v>0</v>
      </c>
      <c r="I14" s="27">
        <f t="shared" si="0"/>
        <v>13.382899628252789</v>
      </c>
    </row>
  </sheetData>
  <mergeCells count="1">
    <mergeCell ref="A1:I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Backlog Original</vt:lpstr>
      <vt:lpstr>Backlog</vt:lpstr>
      <vt:lpstr>Total General</vt:lpstr>
      <vt:lpstr>Sem 15</vt:lpstr>
      <vt:lpstr>Sem 16</vt:lpstr>
      <vt:lpstr>Sem 17</vt:lpstr>
      <vt:lpstr>Sem 18</vt:lpstr>
      <vt:lpstr>Sem 19</vt:lpstr>
      <vt:lpstr>Sem 20</vt:lpstr>
      <vt:lpstr>Sem 21</vt:lpstr>
      <vt:lpstr>Resumen Semanal</vt:lpstr>
      <vt:lpstr>Seg por 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Soto</cp:lastModifiedBy>
  <dcterms:created xsi:type="dcterms:W3CDTF">2026-04-02T21:31:12Z</dcterms:created>
  <dcterms:modified xsi:type="dcterms:W3CDTF">2026-04-02T21:40:41Z</dcterms:modified>
</cp:coreProperties>
</file>